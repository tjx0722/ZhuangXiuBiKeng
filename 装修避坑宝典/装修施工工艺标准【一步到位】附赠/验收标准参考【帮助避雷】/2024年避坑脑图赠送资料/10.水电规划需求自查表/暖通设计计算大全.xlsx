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浏览器下载\微信缓存\WeChat Files\wxid_zccl3xhdnp7s21\FileStorage\File\2023-12\"/>
    </mc:Choice>
  </mc:AlternateContent>
  <xr:revisionPtr revIDLastSave="0" documentId="13_ncr:1_{D35295C7-3216-486D-B856-951A239418B7}" xr6:coauthVersionLast="47" xr6:coauthVersionMax="47" xr10:uidLastSave="{00000000-0000-0000-0000-000000000000}"/>
  <workbookProtection workbookAlgorithmName="SHA-512" workbookHashValue="Rm8Cqa5i/KALPH/XsMWAavUMCongBQAZFZj7C/+eopeqa3xIwxFDBbRTiYxenbWFxD9dseZD2Ivdb1HkCVTfIA==" workbookSaltValue="bDig6AzG+X/a+flvvTTumA==" workbookSpinCount="100000" lockStructure="1"/>
  <bookViews>
    <workbookView xWindow="-120" yWindow="-120" windowWidth="38640" windowHeight="21120" tabRatio="826" xr2:uid="{00000000-000D-0000-FFFF-FFFF00000000}"/>
  </bookViews>
  <sheets>
    <sheet name="水机管径计算" sheetId="2" r:id="rId1"/>
    <sheet name="钢材理论重量表" sheetId="11" state="hidden" r:id="rId2"/>
    <sheet name="多联机管径计算" sheetId="3" r:id="rId3"/>
    <sheet name="新风冷量计算表" sheetId="4" r:id="rId4"/>
    <sheet name="大卡千瓦兆瓦转换表" sheetId="5" state="hidden" r:id="rId5"/>
    <sheet name="管径流速流量对照表" sheetId="6" r:id="rId6"/>
    <sheet name="铜管重量保温每米单价" sheetId="7" state="hidden" r:id="rId7"/>
    <sheet name="圆形矩形风道风速计算" sheetId="8" r:id="rId8"/>
    <sheet name="风口风速1" sheetId="9" r:id="rId9"/>
    <sheet name="风口风速2" sheetId="10" r:id="rId10"/>
  </sheets>
  <calcPr calcId="191029"/>
</workbook>
</file>

<file path=xl/calcChain.xml><?xml version="1.0" encoding="utf-8"?>
<calcChain xmlns="http://schemas.openxmlformats.org/spreadsheetml/2006/main">
  <c r="D37" i="10" l="1"/>
  <c r="D36" i="10"/>
  <c r="G29" i="10"/>
  <c r="K26" i="10"/>
  <c r="J25" i="10"/>
  <c r="G23" i="10"/>
  <c r="L22" i="10"/>
  <c r="H21" i="10"/>
  <c r="E21" i="10"/>
  <c r="I19" i="10"/>
  <c r="D19" i="10"/>
  <c r="K18" i="10"/>
  <c r="E17" i="10"/>
  <c r="E16" i="10"/>
  <c r="K14" i="10"/>
  <c r="K9" i="10"/>
  <c r="H9" i="10"/>
  <c r="G29" i="9"/>
  <c r="D29" i="9"/>
  <c r="G28" i="9"/>
  <c r="D28" i="9"/>
  <c r="D27" i="9"/>
  <c r="D26" i="9"/>
  <c r="D23" i="9"/>
  <c r="D22" i="9"/>
  <c r="C21" i="9"/>
  <c r="C20" i="9"/>
  <c r="H17" i="9"/>
  <c r="F17" i="9"/>
  <c r="D17" i="9"/>
  <c r="C15" i="9"/>
  <c r="C14" i="9"/>
  <c r="C13" i="9"/>
  <c r="C9" i="9"/>
  <c r="H8" i="9"/>
  <c r="F8" i="9"/>
  <c r="D8" i="9"/>
  <c r="H7" i="9"/>
  <c r="C6" i="9"/>
  <c r="B28" i="8"/>
  <c r="B20" i="8"/>
  <c r="G33" i="7"/>
  <c r="E33" i="7"/>
  <c r="D33" i="7"/>
  <c r="G32" i="7"/>
  <c r="E32" i="7"/>
  <c r="D32" i="7"/>
  <c r="G31" i="7"/>
  <c r="E31" i="7"/>
  <c r="D31" i="7"/>
  <c r="G30" i="7"/>
  <c r="E30" i="7"/>
  <c r="D30" i="7"/>
  <c r="G29" i="7"/>
  <c r="E29" i="7"/>
  <c r="D29" i="7"/>
  <c r="G28" i="7"/>
  <c r="E28" i="7"/>
  <c r="D28" i="7"/>
  <c r="G27" i="7"/>
  <c r="E27" i="7"/>
  <c r="D27" i="7"/>
  <c r="G26" i="7"/>
  <c r="E26" i="7"/>
  <c r="D26" i="7"/>
  <c r="G25" i="7"/>
  <c r="E25" i="7"/>
  <c r="D25" i="7"/>
  <c r="G24" i="7"/>
  <c r="E24" i="7"/>
  <c r="D24" i="7"/>
  <c r="G23" i="7"/>
  <c r="E23" i="7"/>
  <c r="D23" i="7"/>
  <c r="G22" i="7"/>
  <c r="E22" i="7"/>
  <c r="D22" i="7"/>
  <c r="G21" i="7"/>
  <c r="E21" i="7"/>
  <c r="D21" i="7"/>
  <c r="G20" i="7"/>
  <c r="E20" i="7"/>
  <c r="D20" i="7"/>
  <c r="G19" i="7"/>
  <c r="E19" i="7"/>
  <c r="D19" i="7"/>
  <c r="G18" i="7"/>
  <c r="E18" i="7"/>
  <c r="D18" i="7"/>
  <c r="G17" i="7"/>
  <c r="E17" i="7"/>
  <c r="D17" i="7"/>
  <c r="G13" i="7"/>
  <c r="E13" i="7"/>
  <c r="D13" i="7"/>
  <c r="G12" i="7"/>
  <c r="E12" i="7"/>
  <c r="D12" i="7"/>
  <c r="G11" i="7"/>
  <c r="E11" i="7"/>
  <c r="D11" i="7"/>
  <c r="G10" i="7"/>
  <c r="E10" i="7"/>
  <c r="D10" i="7"/>
  <c r="G9" i="7"/>
  <c r="E9" i="7"/>
  <c r="D9" i="7"/>
  <c r="G8" i="7"/>
  <c r="E8" i="7"/>
  <c r="D8" i="7"/>
  <c r="G7" i="7"/>
  <c r="E7" i="7"/>
  <c r="D7" i="7"/>
  <c r="G6" i="7"/>
  <c r="E6" i="7"/>
  <c r="D6" i="7"/>
  <c r="G5" i="7"/>
  <c r="E5" i="7"/>
  <c r="D5" i="7"/>
  <c r="G4" i="7"/>
  <c r="E4" i="7"/>
  <c r="D4" i="7"/>
  <c r="G3" i="7"/>
  <c r="E3" i="7"/>
  <c r="D3" i="7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J15" i="5"/>
  <c r="E14" i="5"/>
  <c r="G11" i="5"/>
  <c r="E11" i="5"/>
  <c r="C11" i="5"/>
  <c r="A11" i="5"/>
  <c r="I9" i="5"/>
  <c r="E9" i="5"/>
  <c r="C9" i="5"/>
  <c r="A9" i="5"/>
  <c r="I7" i="5"/>
  <c r="G7" i="5"/>
  <c r="C7" i="5"/>
  <c r="A7" i="5"/>
  <c r="I5" i="5"/>
  <c r="G5" i="5"/>
  <c r="E5" i="5"/>
  <c r="A5" i="5"/>
  <c r="I3" i="5"/>
  <c r="G3" i="5"/>
  <c r="E3" i="5"/>
  <c r="C3" i="5"/>
  <c r="A3" i="5"/>
  <c r="C9" i="4"/>
  <c r="L41" i="3"/>
  <c r="K41" i="3"/>
  <c r="J41" i="3"/>
  <c r="C41" i="3"/>
  <c r="E41" i="3" s="1"/>
  <c r="L40" i="3"/>
  <c r="K40" i="3"/>
  <c r="J40" i="3"/>
  <c r="C40" i="3"/>
  <c r="E40" i="3" s="1"/>
  <c r="L39" i="3"/>
  <c r="K39" i="3"/>
  <c r="J39" i="3"/>
  <c r="C39" i="3"/>
  <c r="E39" i="3" s="1"/>
  <c r="K38" i="3"/>
  <c r="J38" i="3"/>
  <c r="L38" i="3" s="1"/>
  <c r="C38" i="3"/>
  <c r="E38" i="3" s="1"/>
  <c r="L37" i="3"/>
  <c r="K37" i="3"/>
  <c r="J37" i="3"/>
  <c r="C37" i="3"/>
  <c r="E37" i="3" s="1"/>
  <c r="L36" i="3"/>
  <c r="K36" i="3"/>
  <c r="J36" i="3"/>
  <c r="C36" i="3"/>
  <c r="E36" i="3" s="1"/>
  <c r="L35" i="3"/>
  <c r="K35" i="3"/>
  <c r="J35" i="3"/>
  <c r="C35" i="3"/>
  <c r="E35" i="3" s="1"/>
  <c r="K34" i="3"/>
  <c r="J34" i="3"/>
  <c r="L34" i="3" s="1"/>
  <c r="C34" i="3"/>
  <c r="E34" i="3" s="1"/>
  <c r="R33" i="3"/>
  <c r="K33" i="3"/>
  <c r="J33" i="3"/>
  <c r="L33" i="3" s="1"/>
  <c r="E33" i="3"/>
  <c r="C33" i="3"/>
  <c r="Q32" i="3"/>
  <c r="K32" i="3"/>
  <c r="J32" i="3"/>
  <c r="L32" i="3" s="1"/>
  <c r="C32" i="3"/>
  <c r="E32" i="3" s="1"/>
  <c r="Q31" i="3"/>
  <c r="K31" i="3"/>
  <c r="J31" i="3"/>
  <c r="L31" i="3" s="1"/>
  <c r="C31" i="3"/>
  <c r="E31" i="3" s="1"/>
  <c r="Q30" i="3"/>
  <c r="L30" i="3"/>
  <c r="K30" i="3"/>
  <c r="J30" i="3"/>
  <c r="C30" i="3"/>
  <c r="E30" i="3" s="1"/>
  <c r="Q29" i="3"/>
  <c r="K29" i="3"/>
  <c r="J29" i="3"/>
  <c r="L29" i="3" s="1"/>
  <c r="C29" i="3"/>
  <c r="E29" i="3" s="1"/>
  <c r="Q28" i="3"/>
  <c r="K28" i="3"/>
  <c r="J28" i="3"/>
  <c r="L28" i="3" s="1"/>
  <c r="C28" i="3"/>
  <c r="E28" i="3" s="1"/>
  <c r="R27" i="3"/>
  <c r="Q27" i="3"/>
  <c r="K27" i="3"/>
  <c r="J27" i="3"/>
  <c r="L27" i="3" s="1"/>
  <c r="C27" i="3"/>
  <c r="E27" i="3" s="1"/>
  <c r="R26" i="3"/>
  <c r="Q26" i="3"/>
  <c r="K26" i="3"/>
  <c r="J26" i="3"/>
  <c r="L26" i="3" s="1"/>
  <c r="C26" i="3"/>
  <c r="E26" i="3" s="1"/>
  <c r="R25" i="3"/>
  <c r="Q25" i="3"/>
  <c r="Q33" i="3" s="1"/>
  <c r="K25" i="3"/>
  <c r="J25" i="3"/>
  <c r="L25" i="3" s="1"/>
  <c r="E25" i="3"/>
  <c r="C25" i="3"/>
  <c r="L20" i="3"/>
  <c r="K20" i="3"/>
  <c r="J20" i="3"/>
  <c r="C20" i="3"/>
  <c r="E20" i="3" s="1"/>
  <c r="L19" i="3"/>
  <c r="K19" i="3"/>
  <c r="J19" i="3"/>
  <c r="C19" i="3"/>
  <c r="E19" i="3" s="1"/>
  <c r="K18" i="3"/>
  <c r="J18" i="3"/>
  <c r="L18" i="3" s="1"/>
  <c r="C18" i="3"/>
  <c r="E18" i="3" s="1"/>
  <c r="L17" i="3"/>
  <c r="K17" i="3"/>
  <c r="J17" i="3"/>
  <c r="C17" i="3"/>
  <c r="E17" i="3" s="1"/>
  <c r="L16" i="3"/>
  <c r="K16" i="3"/>
  <c r="J16" i="3"/>
  <c r="C16" i="3"/>
  <c r="E16" i="3" s="1"/>
  <c r="L15" i="3"/>
  <c r="K15" i="3"/>
  <c r="J15" i="3"/>
  <c r="C15" i="3"/>
  <c r="E15" i="3" s="1"/>
  <c r="K14" i="3"/>
  <c r="J14" i="3"/>
  <c r="L14" i="3" s="1"/>
  <c r="C14" i="3"/>
  <c r="E14" i="3" s="1"/>
  <c r="L13" i="3"/>
  <c r="K13" i="3"/>
  <c r="J13" i="3"/>
  <c r="C13" i="3"/>
  <c r="E13" i="3" s="1"/>
  <c r="L12" i="3"/>
  <c r="K12" i="3"/>
  <c r="J12" i="3"/>
  <c r="C12" i="3"/>
  <c r="E12" i="3" s="1"/>
  <c r="L11" i="3"/>
  <c r="K11" i="3"/>
  <c r="J11" i="3"/>
  <c r="C11" i="3"/>
  <c r="E11" i="3" s="1"/>
  <c r="K10" i="3"/>
  <c r="J10" i="3"/>
  <c r="L10" i="3" s="1"/>
  <c r="C10" i="3"/>
  <c r="E10" i="3" s="1"/>
  <c r="L9" i="3"/>
  <c r="K9" i="3"/>
  <c r="J9" i="3"/>
  <c r="C9" i="3"/>
  <c r="E9" i="3" s="1"/>
  <c r="L8" i="3"/>
  <c r="K8" i="3"/>
  <c r="J8" i="3"/>
  <c r="C8" i="3"/>
  <c r="E8" i="3" s="1"/>
  <c r="L7" i="3"/>
  <c r="K7" i="3"/>
  <c r="J7" i="3"/>
  <c r="C7" i="3"/>
  <c r="E7" i="3" s="1"/>
  <c r="K6" i="3"/>
  <c r="J6" i="3"/>
  <c r="L6" i="3" s="1"/>
  <c r="E6" i="3"/>
  <c r="C6" i="3"/>
  <c r="K5" i="3"/>
  <c r="J5" i="3"/>
  <c r="L5" i="3" s="1"/>
  <c r="E5" i="3"/>
  <c r="C5" i="3"/>
  <c r="K4" i="3"/>
  <c r="J4" i="3"/>
  <c r="L4" i="3" s="1"/>
  <c r="C4" i="3"/>
  <c r="E4" i="3" s="1"/>
  <c r="O13" i="11"/>
  <c r="N13" i="11"/>
  <c r="Q12" i="11"/>
  <c r="O12" i="11"/>
  <c r="N12" i="11"/>
  <c r="O11" i="11"/>
  <c r="N11" i="11"/>
  <c r="O10" i="11"/>
  <c r="N10" i="11"/>
  <c r="O9" i="11"/>
  <c r="N9" i="11"/>
  <c r="O8" i="11"/>
  <c r="N8" i="11"/>
  <c r="O7" i="11"/>
  <c r="N7" i="11"/>
  <c r="O6" i="11"/>
  <c r="N6" i="11"/>
  <c r="O5" i="11"/>
  <c r="N5" i="11"/>
  <c r="O4" i="11"/>
  <c r="N4" i="11"/>
  <c r="O3" i="11"/>
  <c r="N3" i="11"/>
  <c r="I30" i="2"/>
  <c r="K30" i="2" s="1"/>
  <c r="H30" i="2"/>
  <c r="E30" i="2"/>
  <c r="I29" i="2"/>
  <c r="K29" i="2" s="1"/>
  <c r="H29" i="2"/>
  <c r="E29" i="2"/>
  <c r="I28" i="2"/>
  <c r="K28" i="2" s="1"/>
  <c r="H28" i="2"/>
  <c r="E28" i="2"/>
  <c r="I27" i="2"/>
  <c r="K27" i="2" s="1"/>
  <c r="H27" i="2"/>
  <c r="E27" i="2"/>
  <c r="I26" i="2"/>
  <c r="K26" i="2" s="1"/>
  <c r="H26" i="2"/>
  <c r="E26" i="2"/>
  <c r="I25" i="2"/>
  <c r="K25" i="2" s="1"/>
  <c r="H25" i="2"/>
  <c r="E25" i="2"/>
  <c r="I24" i="2"/>
  <c r="K24" i="2" s="1"/>
  <c r="H24" i="2"/>
  <c r="E24" i="2"/>
  <c r="I23" i="2"/>
  <c r="K23" i="2" s="1"/>
  <c r="H23" i="2"/>
  <c r="E23" i="2"/>
  <c r="I22" i="2"/>
  <c r="K22" i="2" s="1"/>
  <c r="H22" i="2"/>
  <c r="E22" i="2"/>
  <c r="I21" i="2"/>
  <c r="K21" i="2" s="1"/>
  <c r="H21" i="2"/>
  <c r="E21" i="2"/>
  <c r="I20" i="2"/>
  <c r="K20" i="2" s="1"/>
  <c r="H20" i="2"/>
  <c r="E20" i="2"/>
  <c r="I15" i="2"/>
  <c r="K15" i="2" s="1"/>
  <c r="H15" i="2"/>
  <c r="E15" i="2"/>
  <c r="J14" i="2"/>
  <c r="I14" i="2"/>
  <c r="K14" i="2" s="1"/>
  <c r="H14" i="2"/>
  <c r="E14" i="2"/>
  <c r="J13" i="2"/>
  <c r="I13" i="2"/>
  <c r="K13" i="2" s="1"/>
  <c r="H13" i="2"/>
  <c r="E13" i="2"/>
  <c r="J12" i="2"/>
  <c r="I12" i="2"/>
  <c r="K12" i="2" s="1"/>
  <c r="H12" i="2"/>
  <c r="E12" i="2"/>
  <c r="J11" i="2"/>
  <c r="I11" i="2"/>
  <c r="K11" i="2" s="1"/>
  <c r="H11" i="2"/>
  <c r="E11" i="2"/>
  <c r="S10" i="2"/>
  <c r="R10" i="2"/>
  <c r="J10" i="2"/>
  <c r="I10" i="2"/>
  <c r="K10" i="2" s="1"/>
  <c r="H10" i="2"/>
  <c r="E10" i="2"/>
  <c r="S9" i="2"/>
  <c r="R9" i="2"/>
  <c r="N13" i="2" s="1"/>
  <c r="J9" i="2"/>
  <c r="I9" i="2"/>
  <c r="K9" i="2" s="1"/>
  <c r="H9" i="2"/>
  <c r="E9" i="2"/>
  <c r="S8" i="2"/>
  <c r="R8" i="2"/>
  <c r="J8" i="2"/>
  <c r="I8" i="2"/>
  <c r="K8" i="2" s="1"/>
  <c r="H8" i="2"/>
  <c r="E8" i="2"/>
  <c r="S7" i="2"/>
  <c r="R7" i="2"/>
  <c r="J7" i="2"/>
  <c r="I7" i="2"/>
  <c r="H7" i="2"/>
  <c r="E7" i="2"/>
  <c r="S6" i="2"/>
  <c r="R6" i="2"/>
  <c r="J6" i="2"/>
  <c r="I6" i="2"/>
  <c r="K6" i="2" s="1"/>
  <c r="H6" i="2"/>
  <c r="E6" i="2"/>
  <c r="S5" i="2"/>
  <c r="R5" i="2"/>
  <c r="J5" i="2"/>
  <c r="I5" i="2"/>
  <c r="K5" i="2" s="1"/>
  <c r="H5" i="2"/>
  <c r="E5" i="2"/>
  <c r="E21" i="3" l="1"/>
  <c r="I21" i="3"/>
  <c r="G7" i="3" s="1"/>
  <c r="E42" i="3"/>
  <c r="I42" i="3"/>
  <c r="G28" i="3" s="1"/>
  <c r="K7" i="2"/>
  <c r="E16" i="2"/>
  <c r="B16" i="2" s="1"/>
  <c r="E31" i="2"/>
  <c r="N12" i="2"/>
  <c r="H31" i="2"/>
  <c r="L31" i="2" s="1"/>
  <c r="F16" i="2"/>
  <c r="F31" i="2"/>
  <c r="B31" i="2"/>
  <c r="H16" i="2"/>
  <c r="L16" i="2" s="1"/>
  <c r="F28" i="3" l="1"/>
  <c r="B42" i="3"/>
  <c r="G25" i="3"/>
  <c r="F25" i="3"/>
  <c r="B21" i="3"/>
  <c r="G4" i="3"/>
  <c r="F7" i="3"/>
  <c r="F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</author>
  </authors>
  <commentList>
    <comment ref="A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YE: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20"/>
            <rFont val="宋体"/>
            <family val="3"/>
            <charset val="134"/>
          </rPr>
          <t>不必改动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<sst xmlns="http://schemas.openxmlformats.org/spreadsheetml/2006/main" count="1380" uniqueCount="822">
  <si>
    <t>管径计算范围为 20-300</t>
  </si>
  <si>
    <t>水机管径</t>
  </si>
  <si>
    <t>管径计算范围为 20-125</t>
  </si>
  <si>
    <t>冷凝水</t>
  </si>
  <si>
    <t>MB风冷模块
热泵机组</t>
  </si>
  <si>
    <t>一用一备选泵</t>
  </si>
  <si>
    <t>风盘型号</t>
  </si>
  <si>
    <t>冷量kW</t>
  </si>
  <si>
    <t>数量</t>
  </si>
  <si>
    <t>总冷kW</t>
  </si>
  <si>
    <t>主机型号</t>
  </si>
  <si>
    <t>主机流量</t>
  </si>
  <si>
    <t>主机压损</t>
  </si>
  <si>
    <t>流量小计</t>
  </si>
  <si>
    <t>压损小计</t>
  </si>
  <si>
    <t>LSQWRF35M/B</t>
  </si>
  <si>
    <t>LSQWRF45M/B</t>
  </si>
  <si>
    <t>LSQWRF65M/B</t>
  </si>
  <si>
    <t>LSQWRF80M/B</t>
  </si>
  <si>
    <t>LSQWRF130M/B</t>
  </si>
  <si>
    <t>LSQWRF160M/B</t>
  </si>
  <si>
    <t>单程管路</t>
  </si>
  <si>
    <t>m</t>
  </si>
  <si>
    <t>水泵扬程</t>
  </si>
  <si>
    <t>m水柱</t>
  </si>
  <si>
    <t>水泵流量</t>
  </si>
  <si>
    <r>
      <rPr>
        <sz val="11"/>
        <color rgb="FF9C6500"/>
        <rFont val="宋体"/>
        <family val="3"/>
        <charset val="134"/>
        <scheme val="minor"/>
      </rPr>
      <t>m</t>
    </r>
    <r>
      <rPr>
        <vertAlign val="superscript"/>
        <sz val="11"/>
        <color rgb="FF9C6500"/>
        <rFont val="宋体"/>
        <family val="3"/>
        <charset val="134"/>
        <scheme val="minor"/>
      </rPr>
      <t>3</t>
    </r>
    <r>
      <rPr>
        <sz val="11"/>
        <color rgb="FF9C6500"/>
        <rFont val="宋体"/>
        <family val="3"/>
        <charset val="134"/>
        <scheme val="minor"/>
      </rPr>
      <t>/h</t>
    </r>
  </si>
  <si>
    <t>最远末端为102风盘，压损为3.1m水柱，该计算为单台水泵工作</t>
  </si>
  <si>
    <t>管径</t>
  </si>
  <si>
    <t>所有该颜色区域为手动输入区域</t>
  </si>
  <si>
    <t>合计</t>
  </si>
  <si>
    <t>kW</t>
  </si>
  <si>
    <t>暖通中国，助力暖通企业发展！抖音搜索：暖通中国，获取更多暖通知识！</t>
  </si>
  <si>
    <t>暖通：空调，地暖，新风,防排烟施工图，竣工图。锅炉房，制冷站房，热力管网，蒸汽管道！</t>
  </si>
  <si>
    <t>给排水：给水、热水、消防工程施工图、消防专篇、图审意见修改、图审的百分百包过。</t>
  </si>
  <si>
    <t>KPL节能离心泵2018年5月(YE3电机）</t>
  </si>
  <si>
    <t>序列号</t>
  </si>
  <si>
    <t>型号</t>
  </si>
  <si>
    <t>流量Q （m³/H）</t>
  </si>
  <si>
    <t>口径(mm)</t>
  </si>
  <si>
    <t>功率(kw)</t>
  </si>
  <si>
    <t>转速(r/min)</t>
  </si>
  <si>
    <t>额定电流(A)</t>
  </si>
  <si>
    <t>效率(%)</t>
  </si>
  <si>
    <t>销售价(RMB)</t>
  </si>
  <si>
    <t>电气：强弱电、配电箱、消防电等</t>
  </si>
  <si>
    <t>001</t>
  </si>
  <si>
    <t>KPL4-120-0.75</t>
  </si>
  <si>
    <t>扬程h(M)</t>
  </si>
  <si>
    <t>1.8A</t>
  </si>
  <si>
    <t>002</t>
  </si>
  <si>
    <t>KPL4-130-0.75</t>
  </si>
  <si>
    <t>安装预算，报价单，配置表！</t>
  </si>
  <si>
    <t>003</t>
  </si>
  <si>
    <t>KPL5-140-0.75</t>
  </si>
  <si>
    <t>提供图纸预审，可行性报告，工程决算，全国定额，标书制作等服务！</t>
  </si>
  <si>
    <t>004</t>
  </si>
  <si>
    <t>KPL5-150-1.1</t>
  </si>
  <si>
    <t>2.5A</t>
  </si>
  <si>
    <t>技术总工：13261884288</t>
  </si>
  <si>
    <t>005</t>
  </si>
  <si>
    <t>KPL5-160-1.5</t>
  </si>
  <si>
    <t>3.2A</t>
  </si>
  <si>
    <t>006</t>
  </si>
  <si>
    <t>KPL6-180-1.5</t>
  </si>
  <si>
    <t>007</t>
  </si>
  <si>
    <t>KPL6-190-2.2</t>
  </si>
  <si>
    <t>4.7A</t>
  </si>
  <si>
    <t>008</t>
  </si>
  <si>
    <t>KPL6-200-3</t>
  </si>
  <si>
    <t>6.2A</t>
  </si>
  <si>
    <t>009</t>
  </si>
  <si>
    <t>KPL8-120-0.75</t>
  </si>
  <si>
    <t>010</t>
  </si>
  <si>
    <t>KPL8-130-1.1</t>
  </si>
  <si>
    <t>011</t>
  </si>
  <si>
    <t>KPL10-140-1.1</t>
  </si>
  <si>
    <t>012</t>
  </si>
  <si>
    <t>KPL10-150-1.5</t>
  </si>
  <si>
    <t>013</t>
  </si>
  <si>
    <t>KPL10-160-2.2</t>
  </si>
  <si>
    <t>014</t>
  </si>
  <si>
    <t>KPL12-180-2.2</t>
  </si>
  <si>
    <t>015</t>
  </si>
  <si>
    <t>KPL12-190-3</t>
  </si>
  <si>
    <t>016</t>
  </si>
  <si>
    <t>KPL12-200-4</t>
  </si>
  <si>
    <t>7.8A</t>
  </si>
  <si>
    <t>017</t>
  </si>
  <si>
    <t>KPL14-120-1.1</t>
  </si>
  <si>
    <t>018</t>
  </si>
  <si>
    <t>KPL14-130-1.5</t>
  </si>
  <si>
    <t>019</t>
  </si>
  <si>
    <t>KPL20-150-2.2</t>
  </si>
  <si>
    <t>020</t>
  </si>
  <si>
    <t>KPL20-160-3</t>
  </si>
  <si>
    <t>021</t>
  </si>
  <si>
    <t>KPL20-170-4</t>
  </si>
  <si>
    <t>022</t>
  </si>
  <si>
    <t>KPL25-180-5.5</t>
  </si>
  <si>
    <t>11A</t>
  </si>
  <si>
    <t>023</t>
  </si>
  <si>
    <t>KPL25-200-7.5</t>
  </si>
  <si>
    <t>14A</t>
  </si>
  <si>
    <t>024</t>
  </si>
  <si>
    <t>KPL25-220-11</t>
  </si>
  <si>
    <t>21A</t>
  </si>
  <si>
    <t>025</t>
  </si>
  <si>
    <t>KPL26-120-2.2</t>
  </si>
  <si>
    <t>026</t>
  </si>
  <si>
    <t>KPL26-130-3</t>
  </si>
  <si>
    <t>027</t>
  </si>
  <si>
    <t>KPL30-150-4</t>
  </si>
  <si>
    <t>028</t>
  </si>
  <si>
    <t>KPL30-160-5.5</t>
  </si>
  <si>
    <t>029</t>
  </si>
  <si>
    <t>KPL30-170-7.5</t>
  </si>
  <si>
    <t>030</t>
  </si>
  <si>
    <t>KPL40-190-7.5</t>
  </si>
  <si>
    <t>031</t>
  </si>
  <si>
    <t>KPL40-210-11</t>
  </si>
  <si>
    <t>032</t>
  </si>
  <si>
    <t>KPL40-230-15</t>
  </si>
  <si>
    <t>28A</t>
  </si>
  <si>
    <t>033</t>
  </si>
  <si>
    <t>KPL50-130-3</t>
  </si>
  <si>
    <t>034</t>
  </si>
  <si>
    <t>KPL50-140-4</t>
  </si>
  <si>
    <t>035</t>
  </si>
  <si>
    <t>KPL70-150-5.5</t>
  </si>
  <si>
    <t>036</t>
  </si>
  <si>
    <t>KPL70-160-7.5</t>
  </si>
  <si>
    <t>037</t>
  </si>
  <si>
    <t>KPL90-180-11</t>
  </si>
  <si>
    <t>038</t>
  </si>
  <si>
    <t>KPL90-190-15</t>
  </si>
  <si>
    <t>039</t>
  </si>
  <si>
    <t>KPL100-210-18.5</t>
  </si>
  <si>
    <t>34A</t>
  </si>
  <si>
    <t>040</t>
  </si>
  <si>
    <t>KPL100-220-22</t>
  </si>
  <si>
    <t>41A</t>
  </si>
  <si>
    <t>041</t>
  </si>
  <si>
    <t>KPL110-155-7.5</t>
  </si>
  <si>
    <t>042</t>
  </si>
  <si>
    <t>KPL110-165-11</t>
  </si>
  <si>
    <t>043</t>
  </si>
  <si>
    <t>KPL110-175-15</t>
  </si>
  <si>
    <t>044</t>
  </si>
  <si>
    <t>KPL100-130-5.5</t>
  </si>
  <si>
    <t>045</t>
  </si>
  <si>
    <t>KPL100-140-7.5</t>
  </si>
  <si>
    <t>046</t>
  </si>
  <si>
    <t>KPL100-150-11</t>
  </si>
  <si>
    <t>047</t>
  </si>
  <si>
    <t>KPL120-170-15</t>
  </si>
  <si>
    <t>048</t>
  </si>
  <si>
    <t>KPL120-180-18.5</t>
  </si>
  <si>
    <t>049</t>
  </si>
  <si>
    <t>KPL130-200-22</t>
  </si>
  <si>
    <t>050</t>
  </si>
  <si>
    <t>KPL130-220-30</t>
  </si>
  <si>
    <t>55A</t>
  </si>
  <si>
    <t>051</t>
  </si>
  <si>
    <t>KPL130-230-37</t>
  </si>
  <si>
    <t>67A</t>
  </si>
  <si>
    <t>052</t>
  </si>
  <si>
    <t>KPL200-250-11</t>
  </si>
  <si>
    <t>22A</t>
  </si>
  <si>
    <t>053</t>
  </si>
  <si>
    <t>KPL200-270-15</t>
  </si>
  <si>
    <t>29A</t>
  </si>
  <si>
    <t>054</t>
  </si>
  <si>
    <t>KPL200-280-18.5</t>
  </si>
  <si>
    <t>35A</t>
  </si>
  <si>
    <t>055</t>
  </si>
  <si>
    <t>KPL220-310-22</t>
  </si>
  <si>
    <t>42A</t>
  </si>
  <si>
    <t>056</t>
  </si>
  <si>
    <t>KPL220-340-30</t>
  </si>
  <si>
    <t>57A</t>
  </si>
  <si>
    <t>057</t>
  </si>
  <si>
    <t>KPL240-380-37</t>
  </si>
  <si>
    <t>70A</t>
  </si>
  <si>
    <t>058</t>
  </si>
  <si>
    <t>KPL240-400-45</t>
  </si>
  <si>
    <t>84A</t>
  </si>
  <si>
    <t>059</t>
  </si>
  <si>
    <t>KPL240-430-55</t>
  </si>
  <si>
    <t>060</t>
  </si>
  <si>
    <t>KPL250-250-15</t>
  </si>
  <si>
    <t>061</t>
  </si>
  <si>
    <t>KPL250-270-18.5</t>
  </si>
  <si>
    <t>062</t>
  </si>
  <si>
    <t>KPL280-290-22</t>
  </si>
  <si>
    <t>063</t>
  </si>
  <si>
    <t>KPL280-300-30</t>
  </si>
  <si>
    <t>064</t>
  </si>
  <si>
    <t>KPL280-330-37</t>
  </si>
  <si>
    <t>065</t>
  </si>
  <si>
    <t>KPL300-400-45</t>
  </si>
  <si>
    <t>066</t>
  </si>
  <si>
    <t>KPL300-420-55</t>
  </si>
  <si>
    <t>103A</t>
  </si>
  <si>
    <t>067</t>
  </si>
  <si>
    <t>KPL300-440-75</t>
  </si>
  <si>
    <t>136A</t>
  </si>
  <si>
    <t>068</t>
  </si>
  <si>
    <t>KPL350-260-18.5</t>
  </si>
  <si>
    <t>069</t>
  </si>
  <si>
    <t>KPL350-270-22</t>
  </si>
  <si>
    <t>070</t>
  </si>
  <si>
    <t>KPL350-280-30</t>
  </si>
  <si>
    <t>071</t>
  </si>
  <si>
    <t>KPL450-300-37</t>
  </si>
  <si>
    <t>072</t>
  </si>
  <si>
    <t>KPL450-320-45</t>
  </si>
  <si>
    <t>073</t>
  </si>
  <si>
    <t>KPL450-330-55</t>
  </si>
  <si>
    <t>074</t>
  </si>
  <si>
    <t>KPL500-380-75</t>
  </si>
  <si>
    <t>075</t>
  </si>
  <si>
    <t>KPL500-400-90</t>
  </si>
  <si>
    <t>076</t>
  </si>
  <si>
    <t>KPL500-430-110</t>
  </si>
  <si>
    <t>077</t>
  </si>
  <si>
    <t>KPL600-280-37</t>
  </si>
  <si>
    <t>078</t>
  </si>
  <si>
    <t>KPL600-300-45</t>
  </si>
  <si>
    <t>079</t>
  </si>
  <si>
    <t>KPL700-320-55</t>
  </si>
  <si>
    <t>080</t>
  </si>
  <si>
    <t>KPL700-340-75</t>
  </si>
  <si>
    <t>备注：我公司提供的5.5KW以下的全部为YE2电机，所以价格相同。</t>
  </si>
  <si>
    <t>钢材理论重量表</t>
  </si>
  <si>
    <r>
      <rPr>
        <sz val="10"/>
        <color indexed="8"/>
        <rFont val="宋体"/>
        <family val="3"/>
        <charset val="134"/>
      </rPr>
      <t>角钢（等边）</t>
    </r>
    <r>
      <rPr>
        <sz val="10"/>
        <rFont val="宋体"/>
        <family val="3"/>
        <charset val="134"/>
      </rPr>
      <t xml:space="preserve"> </t>
    </r>
  </si>
  <si>
    <t xml:space="preserve">槽  钢 </t>
  </si>
  <si>
    <t xml:space="preserve">工字钢 </t>
  </si>
  <si>
    <t xml:space="preserve">焊 管 </t>
  </si>
  <si>
    <t xml:space="preserve">热镀锌管 </t>
  </si>
  <si>
    <t xml:space="preserve">圆钢 </t>
  </si>
  <si>
    <t>单价</t>
  </si>
  <si>
    <t>6米</t>
  </si>
  <si>
    <t>一米</t>
  </si>
  <si>
    <t xml:space="preserve">规格 </t>
  </si>
  <si>
    <t xml:space="preserve">公斤/米 </t>
  </si>
  <si>
    <t xml:space="preserve">20*3 </t>
  </si>
  <si>
    <t xml:space="preserve">5# </t>
  </si>
  <si>
    <t xml:space="preserve">10# </t>
  </si>
  <si>
    <t xml:space="preserve">DN15   1/2〞 </t>
  </si>
  <si>
    <t xml:space="preserve">8 MM </t>
  </si>
  <si>
    <t xml:space="preserve">25*3 </t>
  </si>
  <si>
    <t xml:space="preserve">6.3# </t>
  </si>
  <si>
    <t xml:space="preserve">12# </t>
  </si>
  <si>
    <t xml:space="preserve">DN20   3/4〞 </t>
  </si>
  <si>
    <t xml:space="preserve">10 MM </t>
  </si>
  <si>
    <t xml:space="preserve">30*3 </t>
  </si>
  <si>
    <t xml:space="preserve">6.5# </t>
  </si>
  <si>
    <t xml:space="preserve">12#B </t>
  </si>
  <si>
    <t xml:space="preserve">DN25    1〞 </t>
  </si>
  <si>
    <t xml:space="preserve">12 MM </t>
  </si>
  <si>
    <t xml:space="preserve">40*4 </t>
  </si>
  <si>
    <t xml:space="preserve">8# </t>
  </si>
  <si>
    <t xml:space="preserve">14# </t>
  </si>
  <si>
    <t xml:space="preserve">DN32   11/4〞 </t>
  </si>
  <si>
    <t xml:space="preserve">14MM </t>
  </si>
  <si>
    <t xml:space="preserve">50*5 </t>
  </si>
  <si>
    <t xml:space="preserve">16# </t>
  </si>
  <si>
    <t xml:space="preserve">DN40   11/2〞 </t>
  </si>
  <si>
    <t xml:space="preserve">16MM </t>
  </si>
  <si>
    <t xml:space="preserve">63*6 </t>
  </si>
  <si>
    <t xml:space="preserve">12#A </t>
  </si>
  <si>
    <t xml:space="preserve">18# </t>
  </si>
  <si>
    <t xml:space="preserve">DN50    2〞 </t>
  </si>
  <si>
    <t xml:space="preserve">18MM </t>
  </si>
  <si>
    <t xml:space="preserve">70*7 </t>
  </si>
  <si>
    <t xml:space="preserve">20# </t>
  </si>
  <si>
    <t xml:space="preserve">DN65   21/2〞 </t>
  </si>
  <si>
    <t xml:space="preserve">20MM </t>
  </si>
  <si>
    <t xml:space="preserve">75*7 </t>
  </si>
  <si>
    <t xml:space="preserve">20#B </t>
  </si>
  <si>
    <t xml:space="preserve">DN80    3〞 </t>
  </si>
  <si>
    <t xml:space="preserve">22MM </t>
  </si>
  <si>
    <t xml:space="preserve">75*8 </t>
  </si>
  <si>
    <t xml:space="preserve">14#B </t>
  </si>
  <si>
    <t xml:space="preserve">22# </t>
  </si>
  <si>
    <t xml:space="preserve">DN100    4〞 </t>
  </si>
  <si>
    <t xml:space="preserve">24MM </t>
  </si>
  <si>
    <t xml:space="preserve">80*8 </t>
  </si>
  <si>
    <t xml:space="preserve">22#B </t>
  </si>
  <si>
    <t xml:space="preserve">DN125    5〞 </t>
  </si>
  <si>
    <t xml:space="preserve">25MM </t>
  </si>
  <si>
    <t xml:space="preserve">80*10 </t>
  </si>
  <si>
    <t xml:space="preserve">16#B </t>
  </si>
  <si>
    <t xml:space="preserve">24# </t>
  </si>
  <si>
    <t xml:space="preserve">DN150    6〞 </t>
  </si>
  <si>
    <t xml:space="preserve">28MM </t>
  </si>
  <si>
    <t xml:space="preserve">90*8 </t>
  </si>
  <si>
    <t xml:space="preserve">24#B </t>
  </si>
  <si>
    <t xml:space="preserve">DN200    8〞 </t>
  </si>
  <si>
    <t xml:space="preserve">30MM </t>
  </si>
  <si>
    <t xml:space="preserve">90*10 </t>
  </si>
  <si>
    <t xml:space="preserve">18#B </t>
  </si>
  <si>
    <t xml:space="preserve">25# </t>
  </si>
  <si>
    <r>
      <rPr>
        <sz val="10"/>
        <rFont val="宋体"/>
        <family val="3"/>
        <charset val="134"/>
      </rPr>
      <t> </t>
    </r>
    <r>
      <rPr>
        <sz val="10"/>
        <color indexed="49"/>
        <rFont val="宋体"/>
        <family val="3"/>
        <charset val="134"/>
      </rPr>
      <t xml:space="preserve"> </t>
    </r>
  </si>
  <si>
    <t xml:space="preserve">32 MM </t>
  </si>
  <si>
    <t xml:space="preserve">100*10 </t>
  </si>
  <si>
    <t xml:space="preserve">25#B </t>
  </si>
  <si>
    <t xml:space="preserve">扁钢公斤/米 </t>
  </si>
  <si>
    <t xml:space="preserve">花纹板 公斤/㎡ </t>
  </si>
  <si>
    <t xml:space="preserve">35 MM </t>
  </si>
  <si>
    <t xml:space="preserve">110*10 </t>
  </si>
  <si>
    <t xml:space="preserve">27# </t>
  </si>
  <si>
    <t xml:space="preserve">16*2 </t>
  </si>
  <si>
    <t xml:space="preserve">3MM </t>
  </si>
  <si>
    <t xml:space="preserve">38 MM </t>
  </si>
  <si>
    <t xml:space="preserve">125*10 </t>
  </si>
  <si>
    <t xml:space="preserve">27#B </t>
  </si>
  <si>
    <t xml:space="preserve">4MM </t>
  </si>
  <si>
    <t xml:space="preserve">40 MM </t>
  </si>
  <si>
    <t xml:space="preserve">125*12 </t>
  </si>
  <si>
    <t xml:space="preserve">28# </t>
  </si>
  <si>
    <t xml:space="preserve">5MM </t>
  </si>
  <si>
    <t xml:space="preserve">42 MM </t>
  </si>
  <si>
    <t xml:space="preserve">140*12 </t>
  </si>
  <si>
    <t xml:space="preserve">28#B </t>
  </si>
  <si>
    <t xml:space="preserve">6MM </t>
  </si>
  <si>
    <t xml:space="preserve">45 MM </t>
  </si>
  <si>
    <t xml:space="preserve">140*14 </t>
  </si>
  <si>
    <t xml:space="preserve">30# </t>
  </si>
  <si>
    <t xml:space="preserve">8MM </t>
  </si>
  <si>
    <t xml:space="preserve">50 MM </t>
  </si>
  <si>
    <t xml:space="preserve">160*12 </t>
  </si>
  <si>
    <t xml:space="preserve">30#B </t>
  </si>
  <si>
    <t xml:space="preserve">钢板     公斤/㎡ </t>
  </si>
  <si>
    <t xml:space="preserve">55 MM </t>
  </si>
  <si>
    <t xml:space="preserve">160*14 </t>
  </si>
  <si>
    <t xml:space="preserve">32# </t>
  </si>
  <si>
    <t xml:space="preserve">60*6 </t>
  </si>
  <si>
    <t xml:space="preserve">1MM </t>
  </si>
  <si>
    <t xml:space="preserve">60 MM </t>
  </si>
  <si>
    <t xml:space="preserve">180*16 </t>
  </si>
  <si>
    <t xml:space="preserve">32#B </t>
  </si>
  <si>
    <r>
      <rPr>
        <sz val="10"/>
        <rFont val="宋体"/>
        <family val="3"/>
        <charset val="134"/>
      </rPr>
      <t> </t>
    </r>
    <r>
      <rPr>
        <sz val="10"/>
        <color indexed="8"/>
        <rFont val="宋体"/>
        <family val="3"/>
        <charset val="134"/>
      </rPr>
      <t xml:space="preserve"> </t>
    </r>
  </si>
  <si>
    <t xml:space="preserve">1.2 MM </t>
  </si>
  <si>
    <t xml:space="preserve">65 MM </t>
  </si>
  <si>
    <t xml:space="preserve">180*18 </t>
  </si>
  <si>
    <t xml:space="preserve">36# </t>
  </si>
  <si>
    <t xml:space="preserve">1.5 MM </t>
  </si>
  <si>
    <t xml:space="preserve">70 MM </t>
  </si>
  <si>
    <t xml:space="preserve">200*18 </t>
  </si>
  <si>
    <t xml:space="preserve">36#B </t>
  </si>
  <si>
    <t xml:space="preserve">90*9 </t>
  </si>
  <si>
    <t xml:space="preserve">1.8MM </t>
  </si>
  <si>
    <t xml:space="preserve">75 MM </t>
  </si>
  <si>
    <t xml:space="preserve">200*20 </t>
  </si>
  <si>
    <t xml:space="preserve">40# </t>
  </si>
  <si>
    <t xml:space="preserve">2.0MM </t>
  </si>
  <si>
    <t xml:space="preserve">80 MM </t>
  </si>
  <si>
    <t xml:space="preserve">200*24 </t>
  </si>
  <si>
    <t xml:space="preserve">40#B </t>
  </si>
  <si>
    <t xml:space="preserve">100*8 </t>
  </si>
  <si>
    <t xml:space="preserve">2.5MM </t>
  </si>
  <si>
    <t xml:space="preserve">85 MM </t>
  </si>
  <si>
    <t xml:space="preserve">50#B </t>
  </si>
  <si>
    <t xml:space="preserve">3.0MM </t>
  </si>
  <si>
    <t xml:space="preserve">90 MM </t>
  </si>
  <si>
    <t xml:space="preserve">。无缝钢管计算公式为：外径-臂厚*臂厚*0.02466=每米重量 例如：ф159*5无缝钢管每米重量计算为： </t>
  </si>
  <si>
    <t xml:space="preserve">　　　【159-5*5*0.02466=18.988公斤/米】 </t>
  </si>
  <si>
    <t>。螺旋焊管计算方法与无缝钢管相同.（试用于焊接钢管）.螺旋焊管每米另加0.5公斤</t>
  </si>
  <si>
    <t>。钢板重量计算方法为：长*宽*厚*7.85 例如：一块8.5米长1.8宽厚为12MM的钢板重量为：</t>
  </si>
  <si>
    <t xml:space="preserve">　　【8.5*1.8*12*7.85=1441.26公斤】   扁钢的重量与钢板相同. </t>
  </si>
  <si>
    <t>。圆钢 螺纹钢每米重量计算方法为：直径*直径*0.00617  例如：计算ф85MM圆钢及18MM螺纹钢每米重量分别为：</t>
  </si>
  <si>
    <t xml:space="preserve">　　【85*85*0.00617=44.578公斤/米 】     【 18*18*0.00617=2.00公斤/米】 </t>
  </si>
  <si>
    <t xml:space="preserve">不锈钢的比重为：8.00     铝的比重为：2.8 </t>
  </si>
  <si>
    <t>管径计算范围为 20-150</t>
  </si>
  <si>
    <t>多联机气管</t>
  </si>
  <si>
    <t>计算结果</t>
  </si>
  <si>
    <t>冷媒管管径选取</t>
  </si>
  <si>
    <t>液管</t>
  </si>
  <si>
    <t>气管</t>
  </si>
  <si>
    <r>
      <rPr>
        <sz val="12"/>
        <color theme="1"/>
        <rFont val="宋体"/>
        <family val="3"/>
        <charset val="134"/>
      </rPr>
      <t>10KW  ＜</t>
    </r>
    <r>
      <rPr>
        <sz val="12"/>
        <color theme="1"/>
        <rFont val="Calibri"/>
        <family val="2"/>
      </rPr>
      <t>Q                 6.35/12.7</t>
    </r>
  </si>
  <si>
    <r>
      <rPr>
        <sz val="12"/>
        <color theme="1"/>
        <rFont val="宋体"/>
        <family val="3"/>
        <charset val="134"/>
      </rPr>
      <t>10KW 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16.8KW        9.52/15.88</t>
    </r>
  </si>
  <si>
    <r>
      <rPr>
        <sz val="12"/>
        <color theme="1"/>
        <rFont val="宋体"/>
        <family val="3"/>
        <charset val="134"/>
      </rPr>
      <t>16.8KW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22.4KW       9.52/19.05</t>
    </r>
  </si>
  <si>
    <t>分歧管</t>
  </si>
  <si>
    <t>冷凝水管</t>
  </si>
  <si>
    <r>
      <rPr>
        <sz val="12"/>
        <color theme="1"/>
        <rFont val="宋体"/>
        <family val="3"/>
        <charset val="134"/>
      </rPr>
      <t>22.4KW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33KW         9.52/22.23</t>
    </r>
  </si>
  <si>
    <r>
      <rPr>
        <sz val="12"/>
        <color theme="1"/>
        <rFont val="宋体"/>
        <family val="3"/>
        <charset val="134"/>
      </rPr>
      <t>33KW 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47KW         12.7/25.4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Calibri"/>
        <family val="2"/>
      </rPr>
      <t>28.58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</si>
  <si>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47KW 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71KW         15.88/28.58</t>
    </r>
  </si>
  <si>
    <r>
      <rPr>
        <sz val="12"/>
        <color theme="1"/>
        <rFont val="宋体"/>
        <family val="3"/>
        <charset val="134"/>
      </rPr>
      <t>71KW 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104KW        19.05/31.75</t>
    </r>
  </si>
  <si>
    <r>
      <rPr>
        <sz val="12"/>
        <color theme="1"/>
        <rFont val="宋体"/>
        <family val="3"/>
        <charset val="134"/>
      </rPr>
      <t>104KW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145KW        19.05/38.1</t>
    </r>
  </si>
  <si>
    <r>
      <rPr>
        <sz val="12"/>
        <color theme="1"/>
        <rFont val="宋体"/>
        <family val="3"/>
        <charset val="134"/>
      </rPr>
      <t>145KW ≤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＜ </t>
    </r>
    <r>
      <rPr>
        <sz val="12"/>
        <color theme="1"/>
        <rFont val="Calibri"/>
        <family val="2"/>
      </rPr>
      <t>185KW        19.05/41.28</t>
    </r>
  </si>
  <si>
    <r>
      <rPr>
        <sz val="12"/>
        <color theme="1"/>
        <rFont val="宋体"/>
        <family val="3"/>
        <charset val="134"/>
      </rPr>
      <t>185KW ≤</t>
    </r>
    <r>
      <rPr>
        <sz val="12"/>
        <color theme="1"/>
        <rFont val="Calibri"/>
        <family val="2"/>
      </rPr>
      <t>Q                 22.23/44.45</t>
    </r>
  </si>
  <si>
    <t xml:space="preserve"> </t>
  </si>
  <si>
    <t>2个机器汇一起最少是9.5/15.9</t>
  </si>
  <si>
    <t>2013.7.24</t>
  </si>
  <si>
    <t>冷凝水管径选取</t>
  </si>
  <si>
    <t>上出风</t>
  </si>
  <si>
    <t>侧出风</t>
  </si>
  <si>
    <r>
      <rPr>
        <sz val="12"/>
        <color theme="1"/>
        <rFont val="宋体"/>
        <family val="3"/>
        <charset val="134"/>
      </rPr>
      <t>7KW    ≤</t>
    </r>
    <r>
      <rPr>
        <sz val="12"/>
        <color theme="1"/>
        <rFont val="Calibri"/>
        <family val="2"/>
      </rPr>
      <t>Q                 DN20</t>
    </r>
  </si>
  <si>
    <t>kg/m</t>
  </si>
  <si>
    <t>kg</t>
  </si>
  <si>
    <r>
      <rPr>
        <sz val="12"/>
        <color theme="1"/>
        <rFont val="宋体"/>
        <family val="3"/>
        <charset val="134"/>
      </rPr>
      <t>7KW    ＜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≤ </t>
    </r>
    <r>
      <rPr>
        <sz val="12"/>
        <color theme="1"/>
        <rFont val="Calibri"/>
        <family val="2"/>
      </rPr>
      <t>17.6KW        DN25</t>
    </r>
  </si>
  <si>
    <r>
      <rPr>
        <sz val="12"/>
        <color theme="1"/>
        <rFont val="宋体"/>
        <family val="3"/>
        <charset val="134"/>
      </rPr>
      <t>17.6KW ＜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≤ </t>
    </r>
    <r>
      <rPr>
        <sz val="12"/>
        <color theme="1"/>
        <rFont val="Calibri"/>
        <family val="2"/>
      </rPr>
      <t>100KW         DN32</t>
    </r>
  </si>
  <si>
    <r>
      <rPr>
        <sz val="12"/>
        <color theme="1"/>
        <rFont val="宋体"/>
        <family val="3"/>
        <charset val="134"/>
      </rPr>
      <t>100KW  ＜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≤ </t>
    </r>
    <r>
      <rPr>
        <sz val="12"/>
        <color theme="1"/>
        <rFont val="Calibri"/>
        <family val="2"/>
      </rPr>
      <t>176KW        DN40</t>
    </r>
  </si>
  <si>
    <r>
      <rPr>
        <sz val="12"/>
        <color theme="1"/>
        <rFont val="宋体"/>
        <family val="3"/>
        <charset val="134"/>
      </rPr>
      <t>176KW  ＜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≤ </t>
    </r>
    <r>
      <rPr>
        <sz val="12"/>
        <color theme="1"/>
        <rFont val="Calibri"/>
        <family val="2"/>
      </rPr>
      <t>598KW        DN50</t>
    </r>
  </si>
  <si>
    <t>液管小于50m无需追加</t>
  </si>
  <si>
    <r>
      <rPr>
        <sz val="12"/>
        <color theme="1"/>
        <rFont val="宋体"/>
        <family val="3"/>
        <charset val="134"/>
      </rPr>
      <t>598KW  ＜</t>
    </r>
    <r>
      <rPr>
        <sz val="12"/>
        <color theme="1"/>
        <rFont val="Calibri"/>
        <family val="2"/>
      </rPr>
      <t>Q</t>
    </r>
    <r>
      <rPr>
        <sz val="12"/>
        <color theme="1"/>
        <rFont val="宋体"/>
        <family val="3"/>
        <charset val="134"/>
      </rPr>
      <t xml:space="preserve">≤ </t>
    </r>
    <r>
      <rPr>
        <sz val="12"/>
        <color theme="1"/>
        <rFont val="Calibri"/>
        <family val="2"/>
      </rPr>
      <t>1055KW       DN80</t>
    </r>
  </si>
  <si>
    <t>追加冷媒/kg</t>
  </si>
  <si>
    <t>室外干球温度</t>
  </si>
  <si>
    <t>℃</t>
  </si>
  <si>
    <t>室内干球温度</t>
  </si>
  <si>
    <t>室外湿球温度</t>
  </si>
  <si>
    <t>室内湿球温度</t>
  </si>
  <si>
    <t>焓值：</t>
  </si>
  <si>
    <t>kJ/kg</t>
  </si>
  <si>
    <t>新风量</t>
  </si>
  <si>
    <t>m3/h</t>
  </si>
  <si>
    <t>所需冷量 Q</t>
  </si>
  <si>
    <t xml:space="preserve">W </t>
  </si>
  <si>
    <t>kcal/h</t>
  </si>
  <si>
    <t>w</t>
  </si>
  <si>
    <t>KW</t>
  </si>
  <si>
    <t>MW</t>
  </si>
  <si>
    <t>KJ</t>
  </si>
  <si>
    <t>Q</t>
  </si>
  <si>
    <t>KG</t>
  </si>
  <si>
    <r>
      <rPr>
        <sz val="12"/>
        <rFont val="宋体"/>
        <family val="3"/>
        <charset val="134"/>
      </rPr>
      <t>温差</t>
    </r>
    <r>
      <rPr>
        <sz val="12"/>
        <rFont val="SimSun"/>
        <charset val="134"/>
      </rPr>
      <t>℃</t>
    </r>
  </si>
  <si>
    <t>1千卡/KG*℃</t>
  </si>
  <si>
    <t>千卡</t>
  </si>
  <si>
    <t>一吨水热水需热量</t>
  </si>
  <si>
    <t>每小时制热量（KW）</t>
  </si>
  <si>
    <r>
      <rPr>
        <b/>
        <sz val="18"/>
        <rFont val="宋体"/>
        <family val="3"/>
        <charset val="134"/>
      </rPr>
      <t>管径</t>
    </r>
    <r>
      <rPr>
        <b/>
        <sz val="18"/>
        <rFont val="Times New Roman"/>
        <family val="1"/>
      </rPr>
      <t>/</t>
    </r>
    <r>
      <rPr>
        <b/>
        <sz val="18"/>
        <rFont val="宋体"/>
        <family val="3"/>
        <charset val="134"/>
      </rPr>
      <t>流速</t>
    </r>
    <r>
      <rPr>
        <b/>
        <sz val="18"/>
        <rFont val="Times New Roman"/>
        <family val="1"/>
      </rPr>
      <t>/</t>
    </r>
    <r>
      <rPr>
        <b/>
        <sz val="18"/>
        <rFont val="宋体"/>
        <family val="3"/>
        <charset val="134"/>
      </rPr>
      <t>流量对照表</t>
    </r>
  </si>
  <si>
    <r>
      <rPr>
        <b/>
        <sz val="11"/>
        <rFont val="宋体"/>
        <family val="3"/>
        <charset val="134"/>
      </rPr>
      <t>管径</t>
    </r>
    <r>
      <rPr>
        <b/>
        <sz val="11"/>
        <rFont val="Times New Roman"/>
        <family val="1"/>
      </rPr>
      <t>(DN)</t>
    </r>
  </si>
  <si>
    <r>
      <rPr>
        <b/>
        <sz val="12"/>
        <rFont val="宋体"/>
        <family val="3"/>
        <charset val="134"/>
      </rPr>
      <t>流量 m</t>
    </r>
    <r>
      <rPr>
        <b/>
        <vertAlign val="superscript"/>
        <sz val="12"/>
        <rFont val="宋体"/>
        <family val="3"/>
        <charset val="134"/>
      </rPr>
      <t>3</t>
    </r>
    <r>
      <rPr>
        <b/>
        <sz val="12"/>
        <rFont val="宋体"/>
        <family val="3"/>
        <charset val="134"/>
      </rPr>
      <t>/h</t>
    </r>
  </si>
  <si>
    <t>0.4m/s</t>
  </si>
  <si>
    <t>0.6m/s</t>
  </si>
  <si>
    <t>0.8m/s</t>
  </si>
  <si>
    <t>1.0m/s</t>
  </si>
  <si>
    <t>1.2m/s</t>
  </si>
  <si>
    <t>1.4m/s</t>
  </si>
  <si>
    <t>1.6m/s</t>
  </si>
  <si>
    <t>1.8m/s</t>
  </si>
  <si>
    <t>2.0m/s</t>
  </si>
  <si>
    <t>2.2m/s</t>
  </si>
  <si>
    <t>2.4m/s</t>
  </si>
  <si>
    <t>2.6m/s</t>
  </si>
  <si>
    <t>2.8m/s</t>
  </si>
  <si>
    <t>3.0m/s</t>
  </si>
  <si>
    <r>
      <rPr>
        <sz val="10"/>
        <rFont val="宋体"/>
        <family val="3"/>
        <charset val="134"/>
      </rPr>
      <t>管径</t>
    </r>
    <r>
      <rPr>
        <sz val="10"/>
        <rFont val="Times New Roman"/>
        <family val="1"/>
      </rPr>
      <t>(DN)</t>
    </r>
  </si>
  <si>
    <r>
      <rPr>
        <b/>
        <sz val="11"/>
        <rFont val="宋体"/>
        <family val="3"/>
        <charset val="134"/>
      </rPr>
      <t>流速推荐值</t>
    </r>
    <r>
      <rPr>
        <b/>
        <sz val="11"/>
        <rFont val="Times New Roman"/>
        <family val="1"/>
      </rPr>
      <t>m/s:</t>
    </r>
  </si>
  <si>
    <t>闭式系统</t>
  </si>
  <si>
    <t>0.5-0.6</t>
  </si>
  <si>
    <t>0.6-0.7</t>
  </si>
  <si>
    <t>0.7-0.9</t>
  </si>
  <si>
    <t>0.8-1</t>
  </si>
  <si>
    <t>0.9-1.2</t>
  </si>
  <si>
    <t>1.1-1.4</t>
  </si>
  <si>
    <t>1.2-1.6</t>
  </si>
  <si>
    <t>1.3-1.8</t>
  </si>
  <si>
    <t>1.5-2.0</t>
  </si>
  <si>
    <t>1.6-2.2</t>
  </si>
  <si>
    <t>1.8-2.5</t>
  </si>
  <si>
    <t>1.8-2.6</t>
  </si>
  <si>
    <t>1.9-2.9</t>
  </si>
  <si>
    <t>1.6-2.5</t>
  </si>
  <si>
    <t>开式系统</t>
  </si>
  <si>
    <t>0.4-0.5</t>
  </si>
  <si>
    <t>0.6-0.8</t>
  </si>
  <si>
    <t>0.8-1.0</t>
  </si>
  <si>
    <t>1.4-1.8</t>
  </si>
  <si>
    <t>1.6-2.3</t>
  </si>
  <si>
    <t>1.7-2.4</t>
  </si>
  <si>
    <t>1.6-2.1</t>
  </si>
  <si>
    <t>1.8-2.3</t>
  </si>
  <si>
    <t>去磷紫铜管重量估算</t>
  </si>
  <si>
    <t>壁厚</t>
  </si>
  <si>
    <t>长度</t>
  </si>
  <si>
    <t>重量</t>
  </si>
  <si>
    <t>总重</t>
  </si>
  <si>
    <t>总价</t>
  </si>
  <si>
    <t>备注(D公司)</t>
  </si>
  <si>
    <t>橡塑保温管体积估算</t>
  </si>
  <si>
    <t>内孔</t>
  </si>
  <si>
    <t>体积</t>
  </si>
  <si>
    <t>总体积</t>
  </si>
  <si>
    <t>铜管</t>
  </si>
  <si>
    <t>PVC水管</t>
  </si>
  <si>
    <t>风量计算公式</t>
  </si>
  <si>
    <t>风量常规换算及表示方式</t>
  </si>
  <si>
    <t>矩型风管</t>
  </si>
  <si>
    <r>
      <rPr>
        <sz val="10.5"/>
        <color theme="1"/>
        <rFont val="宋体"/>
        <family val="3"/>
        <charset val="134"/>
      </rPr>
      <t>风量</t>
    </r>
    <r>
      <rPr>
        <sz val="10.5"/>
        <color theme="1"/>
        <rFont val="Times New Roman"/>
        <family val="1"/>
      </rPr>
      <t>(m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/h)/</t>
    </r>
    <r>
      <rPr>
        <sz val="10.5"/>
        <color theme="1"/>
        <rFont val="宋体"/>
        <family val="3"/>
        <charset val="134"/>
      </rPr>
      <t>摩擦阻力</t>
    </r>
    <r>
      <rPr>
        <sz val="10.5"/>
        <color theme="1"/>
        <rFont val="Times New Roman"/>
        <family val="1"/>
      </rPr>
      <t>(Pa)</t>
    </r>
  </si>
  <si>
    <t>风管截面积F(㎡)</t>
  </si>
  <si>
    <t>风管风速V(m/s)</t>
  </si>
  <si>
    <t>风量Q(m³/h)</t>
  </si>
  <si>
    <t>mm</t>
  </si>
  <si>
    <t>v=2m/s</t>
  </si>
  <si>
    <t>v=3 m/s</t>
  </si>
  <si>
    <t>v=4 m/s</t>
  </si>
  <si>
    <t>v=5 m/s</t>
  </si>
  <si>
    <t>v=6 m/s</t>
  </si>
  <si>
    <t>Q=V·F×3600s</t>
  </si>
  <si>
    <t>CMH=m³/h</t>
  </si>
  <si>
    <t>CMM=m³/min</t>
  </si>
  <si>
    <t>120x120</t>
  </si>
  <si>
    <t>104/0.61</t>
  </si>
  <si>
    <t>156/1.27</t>
  </si>
  <si>
    <t>207/2.15</t>
  </si>
  <si>
    <t>259/3.25</t>
  </si>
  <si>
    <t>311/14.57</t>
  </si>
  <si>
    <t>1m³=1000L</t>
  </si>
  <si>
    <t>160x120</t>
  </si>
  <si>
    <t>138/0.51</t>
  </si>
  <si>
    <t>207/1.07</t>
  </si>
  <si>
    <t>277/1.8</t>
  </si>
  <si>
    <t>346/2.75</t>
  </si>
  <si>
    <t>415/3.86</t>
  </si>
  <si>
    <t>圆形风管截面积计算F(㎡)</t>
  </si>
  <si>
    <t>CFM立方英尺每分钟</t>
  </si>
  <si>
    <t>160x160</t>
  </si>
  <si>
    <t>184/0.42</t>
  </si>
  <si>
    <t>277/0.78</t>
  </si>
  <si>
    <t>369/1.49</t>
  </si>
  <si>
    <t>461/2.26</t>
  </si>
  <si>
    <t>553/3.17</t>
  </si>
  <si>
    <t>F=πR²</t>
  </si>
  <si>
    <t>1CFM=0.028m³/min=1.7m³/h</t>
  </si>
  <si>
    <t>200x120</t>
  </si>
  <si>
    <t>173/0.46</t>
  </si>
  <si>
    <t>259/0.95</t>
  </si>
  <si>
    <t>346/1.62</t>
  </si>
  <si>
    <t>432/2.45</t>
  </si>
  <si>
    <t>734/3.44</t>
  </si>
  <si>
    <t>LPM升每分钟</t>
  </si>
  <si>
    <t>200x160</t>
  </si>
  <si>
    <t>230/0.36</t>
  </si>
  <si>
    <t>346/0.77</t>
  </si>
  <si>
    <t>461/1.3</t>
  </si>
  <si>
    <t>576/1.79</t>
  </si>
  <si>
    <t>691/2.78</t>
  </si>
  <si>
    <t>矩形风管截面积计算F(㎡)</t>
  </si>
  <si>
    <t>1LPM=0.06m³/h</t>
  </si>
  <si>
    <t>250x120</t>
  </si>
  <si>
    <t>216/0.41</t>
  </si>
  <si>
    <t>324/0.87</t>
  </si>
  <si>
    <t>432/1.47</t>
  </si>
  <si>
    <t>540/2.23</t>
  </si>
  <si>
    <t>648/</t>
  </si>
  <si>
    <t>F=L×W(长×宽)</t>
  </si>
  <si>
    <t>250x160</t>
  </si>
  <si>
    <t>288/0.32</t>
  </si>
  <si>
    <t>432/0.69</t>
  </si>
  <si>
    <t>576/1.17</t>
  </si>
  <si>
    <t>720/1.77</t>
  </si>
  <si>
    <t>864/2.48</t>
  </si>
  <si>
    <t>250x200</t>
  </si>
  <si>
    <t>360/0.27</t>
  </si>
  <si>
    <t>540/0.58</t>
  </si>
  <si>
    <t>720/0.99</t>
  </si>
  <si>
    <t>900/1.50</t>
  </si>
  <si>
    <t>1080/2.11</t>
  </si>
  <si>
    <t>320x120</t>
  </si>
  <si>
    <t>269/0.38</t>
  </si>
  <si>
    <t>403/0.79</t>
  </si>
  <si>
    <t>537/1.34</t>
  </si>
  <si>
    <t>672/2.03</t>
  </si>
  <si>
    <t>806/2.86</t>
  </si>
  <si>
    <t>风量设计说明：一般通风系统管道风速设计为8-12m/s，本期管道风速均按10m/s计算</t>
  </si>
  <si>
    <t>320x160</t>
  </si>
  <si>
    <t>369/0.29</t>
  </si>
  <si>
    <t>553/0.61</t>
  </si>
  <si>
    <t>737/1.04</t>
  </si>
  <si>
    <t>922/1.58</t>
  </si>
  <si>
    <t>1106/2.22</t>
  </si>
  <si>
    <t>320x200</t>
  </si>
  <si>
    <t>461/0.25</t>
  </si>
  <si>
    <t>691/0.51</t>
  </si>
  <si>
    <t>9221/0.87</t>
  </si>
  <si>
    <t>1152/1.31</t>
  </si>
  <si>
    <t>1382/1.85</t>
  </si>
  <si>
    <t>320x250</t>
  </si>
  <si>
    <t>576/0.21</t>
  </si>
  <si>
    <t>864/0.43</t>
  </si>
  <si>
    <t>1152/0.74</t>
  </si>
  <si>
    <t>1440/1.12</t>
  </si>
  <si>
    <t>1728/1.57</t>
  </si>
  <si>
    <t>圆管风量计算：</t>
  </si>
  <si>
    <t>风速选择表（主要房间≦45DB(A))</t>
  </si>
  <si>
    <t>400x120</t>
  </si>
  <si>
    <t>336/0.35</t>
  </si>
  <si>
    <t>504/0.74</t>
  </si>
  <si>
    <t>673/1.25</t>
  </si>
  <si>
    <t>841/1.90</t>
  </si>
  <si>
    <t>1009/2.67</t>
  </si>
  <si>
    <t>管道管径</t>
  </si>
  <si>
    <t>表格使用说明：在黄色表格内填入相应参数，回车后，结果会在绿色表格内自动算出(通过换算将风管尺寸换成毫米单位)</t>
  </si>
  <si>
    <t>室内允许噪音DB(A)</t>
  </si>
  <si>
    <t>主风管内风速</t>
  </si>
  <si>
    <t>支风管风速</t>
  </si>
  <si>
    <t>出风口风速</t>
  </si>
  <si>
    <t>400x160</t>
  </si>
  <si>
    <t>461/0.27</t>
  </si>
  <si>
    <t>691/0.56</t>
  </si>
  <si>
    <t>922/0.95</t>
  </si>
  <si>
    <t>1152/1.45</t>
  </si>
  <si>
    <t>1382/2.03</t>
  </si>
  <si>
    <t>管道风速</t>
  </si>
  <si>
    <t>m/s</t>
  </si>
  <si>
    <t>25-35</t>
  </si>
  <si>
    <t>≦2</t>
  </si>
  <si>
    <t>≦1.6</t>
  </si>
  <si>
    <t>≦0.8</t>
  </si>
  <si>
    <t>400x200</t>
  </si>
  <si>
    <t>576/0.22</t>
  </si>
  <si>
    <t>864/0.46</t>
  </si>
  <si>
    <t>1152/0.78</t>
  </si>
  <si>
    <t>1440/1.20</t>
  </si>
  <si>
    <t>1728/1.68</t>
  </si>
  <si>
    <r>
      <rPr>
        <sz val="11"/>
        <color theme="1"/>
        <rFont val="SimSun"/>
        <charset val="134"/>
      </rPr>
      <t>≦</t>
    </r>
    <r>
      <rPr>
        <sz val="11"/>
        <color theme="1"/>
        <rFont val="宋体"/>
        <family val="3"/>
        <charset val="134"/>
        <scheme val="minor"/>
      </rPr>
      <t>40</t>
    </r>
  </si>
  <si>
    <t>≦3</t>
  </si>
  <si>
    <t>≦2.4</t>
  </si>
  <si>
    <t>≦1.2</t>
  </si>
  <si>
    <t>400x250</t>
  </si>
  <si>
    <t>720/0.19</t>
  </si>
  <si>
    <t>1080/0.38</t>
  </si>
  <si>
    <t>1440/0.66</t>
  </si>
  <si>
    <t>1800/1.00</t>
  </si>
  <si>
    <t>2160/1.40</t>
  </si>
  <si>
    <t>风量结果：</t>
  </si>
  <si>
    <t>m³/h</t>
  </si>
  <si>
    <t>≦45</t>
  </si>
  <si>
    <t>≦4</t>
  </si>
  <si>
    <t>≦3.2</t>
  </si>
  <si>
    <t>500x160</t>
  </si>
  <si>
    <t>576/ 0.25</t>
  </si>
  <si>
    <t>864/0.52</t>
  </si>
  <si>
    <t>1152/0.89</t>
  </si>
  <si>
    <t>1440/1.34</t>
  </si>
  <si>
    <t>1728/1.89</t>
  </si>
  <si>
    <t>≦50</t>
  </si>
  <si>
    <t>≦5</t>
  </si>
  <si>
    <t>500x200</t>
  </si>
  <si>
    <t>720/0.21</t>
  </si>
  <si>
    <t>1080/0.42</t>
  </si>
  <si>
    <t>1440/0.73</t>
  </si>
  <si>
    <t>1800/1.1</t>
  </si>
  <si>
    <t>2160/1.54</t>
  </si>
  <si>
    <t>≦55</t>
  </si>
  <si>
    <t>≦6</t>
  </si>
  <si>
    <t>≦4.8</t>
  </si>
  <si>
    <t>500x250</t>
  </si>
  <si>
    <t>900/0.17</t>
  </si>
  <si>
    <t>1350/0.35</t>
  </si>
  <si>
    <t>1800/0.60</t>
  </si>
  <si>
    <t>2250/0.90</t>
  </si>
  <si>
    <t>2700/1.28</t>
  </si>
  <si>
    <t>矩形管风量计算：</t>
  </si>
  <si>
    <t>≦60</t>
  </si>
  <si>
    <t>≦7</t>
  </si>
  <si>
    <t>≦5.6</t>
  </si>
  <si>
    <t>≦2.8</t>
  </si>
  <si>
    <t>500x320</t>
  </si>
  <si>
    <t>1152/0.14</t>
  </si>
  <si>
    <t>1728/0.28</t>
  </si>
  <si>
    <t>2304/0.49</t>
  </si>
  <si>
    <t>2880/0.75</t>
  </si>
  <si>
    <t>3456/1.05</t>
  </si>
  <si>
    <t>管道长</t>
  </si>
  <si>
    <t>500x400</t>
  </si>
  <si>
    <t>1440/0.12</t>
  </si>
  <si>
    <t>2160/0.25</t>
  </si>
  <si>
    <t>2880/0.42</t>
  </si>
  <si>
    <t>3600/0.64</t>
  </si>
  <si>
    <t>4320/0.89</t>
  </si>
  <si>
    <t>管道宽</t>
  </si>
  <si>
    <t>630x160</t>
  </si>
  <si>
    <t>726/0.22</t>
  </si>
  <si>
    <t>1089/0.48</t>
  </si>
  <si>
    <t>1452/0.84</t>
  </si>
  <si>
    <t>1814/1.12</t>
  </si>
  <si>
    <t>2177/1.98</t>
  </si>
  <si>
    <t>630x200</t>
  </si>
  <si>
    <t>907/0.19</t>
  </si>
  <si>
    <t>1361/0.39</t>
  </si>
  <si>
    <t>1814/0.67</t>
  </si>
  <si>
    <t>2268/1.02</t>
  </si>
  <si>
    <t>2722/1.43</t>
  </si>
  <si>
    <t>630x250</t>
  </si>
  <si>
    <t>1134/0.16</t>
  </si>
  <si>
    <t>1701/0.32</t>
  </si>
  <si>
    <t>2268/0.55</t>
  </si>
  <si>
    <t>2835/0.83</t>
  </si>
  <si>
    <t>3402/0.19</t>
  </si>
  <si>
    <t>630x320</t>
  </si>
  <si>
    <t>1452/0.13</t>
  </si>
  <si>
    <t>2177/0.26</t>
  </si>
  <si>
    <t>2903/0.44</t>
  </si>
  <si>
    <t>3629/0.67</t>
  </si>
  <si>
    <t>4355/0.94</t>
  </si>
  <si>
    <t>风口布置设计计算</t>
  </si>
  <si>
    <t>类型</t>
  </si>
  <si>
    <t>散流器平送</t>
  </si>
  <si>
    <t>夏季室内显热冷负荷 kJ/h</t>
  </si>
  <si>
    <t>注：1KW＝1KJ/S</t>
  </si>
  <si>
    <t>房间尺寸（M）</t>
  </si>
  <si>
    <t>长</t>
  </si>
  <si>
    <t>宽</t>
  </si>
  <si>
    <t>高</t>
  </si>
  <si>
    <t>拟布置散流器个数</t>
  </si>
  <si>
    <t>几行</t>
  </si>
  <si>
    <t>几列</t>
  </si>
  <si>
    <t>单个散流器所负担的面积 Fn</t>
  </si>
  <si>
    <t>散流器布置间距  m</t>
  </si>
  <si>
    <t>平均间距</t>
  </si>
  <si>
    <t>水平射程 m</t>
  </si>
  <si>
    <r>
      <rPr>
        <sz val="12"/>
        <rFont val="宋体"/>
        <family val="3"/>
        <charset val="134"/>
      </rPr>
      <t>L</t>
    </r>
    <r>
      <rPr>
        <vertAlign val="subscript"/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</si>
  <si>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L</t>
    </r>
    <r>
      <rPr>
        <vertAlign val="subscript"/>
        <sz val="12"/>
        <rFont val="宋体"/>
        <family val="3"/>
        <charset val="134"/>
      </rPr>
      <t>2</t>
    </r>
  </si>
  <si>
    <t>平均射程</t>
  </si>
  <si>
    <t>垂直射程 X'＝H-h</t>
  </si>
  <si>
    <t>注：H－层高 h－工作区高度，通常2m可自定</t>
  </si>
  <si>
    <t>h值</t>
  </si>
  <si>
    <r>
      <rPr>
        <sz val="12"/>
        <rFont val="宋体"/>
        <family val="3"/>
        <charset val="134"/>
      </rPr>
      <t>取送风温差 Δt</t>
    </r>
    <r>
      <rPr>
        <vertAlign val="subscript"/>
        <sz val="12"/>
        <rFont val="宋体"/>
        <family val="3"/>
        <charset val="134"/>
      </rPr>
      <t>0</t>
    </r>
  </si>
  <si>
    <t>注：取值见附表</t>
  </si>
  <si>
    <t xml:space="preserve">①直接输入总风量 L m3/h  </t>
  </si>
  <si>
    <t>②的计算结果需填入①中</t>
  </si>
  <si>
    <t>②由显冷负荷计算总风量L  m3/h</t>
  </si>
  <si>
    <t>L=Q/(1.2*1.01*Δt0)</t>
  </si>
  <si>
    <t>换气次数  次/h  n=L/房间体积</t>
  </si>
  <si>
    <r>
      <rPr>
        <sz val="12"/>
        <rFont val="宋体"/>
        <family val="3"/>
        <charset val="134"/>
      </rPr>
      <t>单个散流器的送风量 L</t>
    </r>
    <r>
      <rPr>
        <vertAlign val="subscript"/>
        <sz val="12"/>
        <rFont val="宋体"/>
        <family val="3"/>
        <charset val="134"/>
      </rPr>
      <t xml:space="preserve">0  </t>
    </r>
    <r>
      <rPr>
        <sz val="12"/>
        <rFont val="宋体"/>
        <family val="3"/>
        <charset val="134"/>
      </rPr>
      <t>m3/h</t>
    </r>
  </si>
  <si>
    <r>
      <rPr>
        <sz val="12"/>
        <rFont val="宋体"/>
        <family val="3"/>
        <charset val="134"/>
      </rPr>
      <t>散流器出风速度取值 u</t>
    </r>
    <r>
      <rPr>
        <vertAlign val="subscript"/>
        <sz val="12"/>
        <rFont val="宋体"/>
        <family val="3"/>
        <charset val="134"/>
      </rPr>
      <t xml:space="preserve">0 </t>
    </r>
    <r>
      <rPr>
        <sz val="12"/>
        <rFont val="宋体"/>
        <family val="3"/>
        <charset val="134"/>
      </rPr>
      <t>(m/s)</t>
    </r>
  </si>
  <si>
    <t>注：出口风速取值见附表</t>
  </si>
  <si>
    <r>
      <rPr>
        <sz val="12"/>
        <rFont val="宋体"/>
        <family val="3"/>
        <charset val="134"/>
      </rPr>
      <t xml:space="preserve">建议散流器颈部尺寸 </t>
    </r>
    <r>
      <rPr>
        <sz val="12"/>
        <rFont val="宋体"/>
        <family val="3"/>
        <charset val="134"/>
      </rPr>
      <t>D(mm)  b*b(mm)</t>
    </r>
  </si>
  <si>
    <t>圆形D</t>
  </si>
  <si>
    <t>方形截面</t>
  </si>
  <si>
    <t>方形单边b</t>
  </si>
  <si>
    <t>实际选择方形散流器颈部尺寸  mm</t>
  </si>
  <si>
    <t>有效面积K</t>
  </si>
  <si>
    <t>实际选择圆形散流器颈部尺寸  mm</t>
  </si>
  <si>
    <t>直径</t>
  </si>
  <si>
    <t>方形散流器颈部实际风速 Vs m/s</t>
  </si>
  <si>
    <t>圆形散流器颈部实际风速 Vs m/s</t>
  </si>
  <si>
    <t>计算射程 x（散流器中心到风速为0.5m/s处的距离） m</t>
  </si>
  <si>
    <t>方形</t>
  </si>
  <si>
    <t>K值</t>
  </si>
  <si>
    <r>
      <rPr>
        <sz val="12"/>
        <rFont val="宋体"/>
        <family val="3"/>
        <charset val="134"/>
      </rPr>
      <t>x</t>
    </r>
    <r>
      <rPr>
        <vertAlign val="subscript"/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值</t>
    </r>
  </si>
  <si>
    <t>圆形</t>
  </si>
  <si>
    <r>
      <rPr>
        <sz val="12"/>
        <rFont val="宋体"/>
        <family val="3"/>
        <charset val="134"/>
      </rPr>
      <t>x=((KVsA</t>
    </r>
    <r>
      <rPr>
        <vertAlign val="superscript"/>
        <sz val="12"/>
        <rFont val="宋体"/>
        <family val="3"/>
        <charset val="134"/>
      </rPr>
      <t>1/2</t>
    </r>
    <r>
      <rPr>
        <sz val="12"/>
        <rFont val="宋体"/>
        <family val="3"/>
        <charset val="134"/>
      </rPr>
      <t>)/Vx)-x</t>
    </r>
    <r>
      <rPr>
        <vertAlign val="subscript"/>
        <sz val="12"/>
        <rFont val="宋体"/>
        <family val="3"/>
        <charset val="134"/>
      </rPr>
      <t>0</t>
    </r>
  </si>
  <si>
    <t>注：K-送风常数，多层锥面取1.4，盘式取1.1</t>
  </si>
  <si>
    <r>
      <rPr>
        <sz val="12"/>
        <rFont val="宋体"/>
        <family val="3"/>
        <charset val="134"/>
      </rPr>
      <t>Vs-散流器出口风速  x</t>
    </r>
    <r>
      <rPr>
        <vertAlign val="subscript"/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-平送射流原点与散流器中心的距离，多层锥面散流器取0.07m</t>
    </r>
  </si>
  <si>
    <t>工作区平均风速 Vm  m/s</t>
  </si>
  <si>
    <t>L-散流器服务区边长(即布置间距），当两方向长度不等时，可取平均值      H－房间净高 m</t>
  </si>
  <si>
    <r>
      <rPr>
        <sz val="12"/>
        <rFont val="宋体"/>
        <family val="3"/>
        <charset val="134"/>
      </rPr>
      <t>Vm=0.381x/((L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/4+H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)^(1/2))</t>
    </r>
  </si>
  <si>
    <t>修正：送冷风附加20%，则Vm</t>
  </si>
  <si>
    <t>修正：送热风减少20%，则Vm</t>
  </si>
  <si>
    <t>检验标准：校核工作区风速是否满足要求</t>
  </si>
  <si>
    <t>工作区风速</t>
  </si>
  <si>
    <t>舒适性</t>
  </si>
  <si>
    <t>冬季≦0.2m/s  夏季≦0.3m/s</t>
  </si>
  <si>
    <t>工艺性</t>
  </si>
  <si>
    <t>0.2~0.5m/s</t>
  </si>
  <si>
    <t>注：</t>
  </si>
  <si>
    <t>褐、绿、黄三种颜色内容不可修改，绿色格软件自动计算；白色单元格可自行输入；黄色格为</t>
  </si>
  <si>
    <t>为本次校核的计算结果值，见17项说明。－－依据《民用建筑空调设计手册》</t>
  </si>
  <si>
    <t>舒适性空调侧送风口布置计算</t>
  </si>
  <si>
    <t>★室温允许波动范围大于或等于1度时。</t>
  </si>
  <si>
    <t>说明：除高大空间的侧送风气流可以看成是自由射流外，大部分房间的侧送风气流都是受限射流－－射流的边界受到房间顶棚、墙等限制。侧送方式的气流流型宜设计为贴附射流，在整个房间截面内形成一个大的回旋气流，也就是使射流有足够的射程能够送到对面墙（对于双侧内送方式，要求能送到房间的一半），整个工作区为回流区，避免射流中途进入工作区。这样设计流型可使射流有足够的射程，在进入工作区前其风速和温差可以充分衰减，工作区达到较均匀的温度和速度，可以减小区域温差。在布置风口时，风口应尽量靠近顶棚，使射流贴附顶棚。         侧送风的房间高度不得低于如下高度：H=h+0.07x+s+0.3m</t>
  </si>
  <si>
    <t>H-侧送风房间高度；h-工作区高度 2m；x-见下表第3项说明；s-送风口下缘到顶棚的距离；0.3安全系数</t>
  </si>
  <si>
    <t>室内显热冷负荷 kw</t>
  </si>
  <si>
    <t>室内设计温度</t>
  </si>
  <si>
    <t>送风温差 ℃</t>
  </si>
  <si>
    <t>送风高度≤5m时，不宜大于10；＞5m时，不宜大于15。每小时换气次数不宜小于5，高大房间按其冷负荷计算确定</t>
  </si>
  <si>
    <t>沿射流方向的房间长度 m</t>
  </si>
  <si>
    <t>房间宽度</t>
  </si>
  <si>
    <t>房间高度</t>
  </si>
  <si>
    <t>计算房间的总送风量 m3/s</t>
  </si>
  <si>
    <t>ls=Qx/(1.2*1.01*△ts)</t>
  </si>
  <si>
    <t>也可手动输入</t>
  </si>
  <si>
    <t>室温允许波动值 △tx</t>
  </si>
  <si>
    <t>送风温差 △ts</t>
  </si>
  <si>
    <t>△tx/△ts</t>
  </si>
  <si>
    <t>查下表（受限射流温度衰减规律）求得射流最小相对射程 x/ds</t>
  </si>
  <si>
    <t>x/ds</t>
  </si>
  <si>
    <t>△tx--为射流处的温度tx与工作区温度t1之差；△ts--送风温差</t>
  </si>
  <si>
    <t>设在墙一侧靠顶棚安装风管，风口离墙距离</t>
  </si>
  <si>
    <t>米</t>
  </si>
  <si>
    <t>实际射程 x</t>
  </si>
  <si>
    <t>注：x为气流贴附长度，m；等于沿送风方向的房间长度减去1m；此处风口离墙0.5m，可以1m计算。</t>
  </si>
  <si>
    <t>送风口最大口径 ds,max</t>
  </si>
  <si>
    <t>预选百叶风口规格 m</t>
  </si>
  <si>
    <t>则风口当量面积直径 ds</t>
  </si>
  <si>
    <t>ds&lt;ds,max则合格</t>
  </si>
  <si>
    <t>送风速度取值 m/s</t>
  </si>
  <si>
    <t>有效面积系数</t>
  </si>
  <si>
    <t>单个风口送风量 m3/s</t>
  </si>
  <si>
    <t>计算风口数量  个</t>
  </si>
  <si>
    <t>实际风口送风速度vs m/s</t>
  </si>
  <si>
    <t>校核送风速度</t>
  </si>
  <si>
    <t>射流服务区断面积 m2</t>
  </si>
  <si>
    <t>射流自由度</t>
  </si>
  <si>
    <t>工作区风速要求m/s</t>
  </si>
  <si>
    <t>夏季≤0.3  冬季≤0.2</t>
  </si>
  <si>
    <t>则允许风口最大出风速度vs,max  m/s</t>
  </si>
  <si>
    <t>实际送风速度与允许最大送风速度对比值：</t>
  </si>
  <si>
    <t>校核值为正则可以满足要求</t>
  </si>
  <si>
    <t>校核射流贴附长度</t>
  </si>
  <si>
    <t>阿基米德常数 Ar</t>
  </si>
  <si>
    <t>Ar=(9.81*ds*△ts)/(vs^2*Tn)</t>
  </si>
  <si>
    <t>查下表（射流贴附长度）得相对贴附射程</t>
  </si>
  <si>
    <t>则实际贴附射程</t>
  </si>
  <si>
    <r>
      <rPr>
        <sz val="12"/>
        <rFont val="宋体"/>
        <family val="3"/>
        <charset val="134"/>
      </rPr>
      <t>Ar(*10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</si>
  <si>
    <t>实际贴附射程与实际射程的对比值：</t>
  </si>
  <si>
    <t>余热Q   kw</t>
  </si>
  <si>
    <t>温差    度</t>
  </si>
  <si>
    <t>风量G m3/s</t>
  </si>
  <si>
    <t>水系统空调管径计算</t>
    <phoneticPr fontId="49" type="noConversion"/>
  </si>
  <si>
    <t>使用方法：只需输入绿色部分，其他数据自动输出</t>
    <phoneticPr fontId="49" type="noConversion"/>
  </si>
  <si>
    <t>暖通中国，助力暖通企业发展！抖音搜索：暖通中国，获取更多暖通知识！</t>
    <phoneticPr fontId="49" type="noConversion"/>
  </si>
  <si>
    <t>抖音搜索：暖通中国，持续分享更多干货！</t>
    <phoneticPr fontId="49" type="noConversion"/>
  </si>
  <si>
    <t>图纸代画/预算代做/标书/暖通设计培训/陈工13261884288</t>
    <phoneticPr fontId="49" type="noConversion"/>
  </si>
  <si>
    <t>暖通中国，助力暖通企业发展！抖音搜索：暖通中国，获取更多暖通知识！</t>
    <phoneticPr fontId="49" type="noConversion"/>
  </si>
  <si>
    <t>多联机管径计算</t>
    <phoneticPr fontId="49" type="noConversion"/>
  </si>
  <si>
    <t>抖音搜索：暖通中国，持续分享！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</si>
</sst>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0.0_ "/>
    <numFmt numFmtId="178" formatCode="0.000_ "/>
    <numFmt numFmtId="179" formatCode="0_ "/>
    <numFmt numFmtId="180" formatCode="0.0000_ "/>
    <numFmt numFmtId="181" formatCode="0_);[Red]\(0\)"/>
    <numFmt numFmtId="182" formatCode="0.0;[Red]0.0"/>
  </numFmts>
  <fonts count="53">
    <font>
      <sz val="11"/>
      <color theme="1"/>
      <name val="宋体"/>
      <charset val="134"/>
      <scheme val="minor"/>
    </font>
    <font>
      <b/>
      <sz val="16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SimSun"/>
      <charset val="134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2"/>
      <color indexed="8"/>
      <name val="宋体"/>
      <family val="3"/>
      <charset val="134"/>
    </font>
    <font>
      <b/>
      <sz val="18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1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8"/>
      <name val="宋体"/>
      <family val="3"/>
      <charset val="134"/>
    </font>
    <font>
      <sz val="11"/>
      <color rgb="FF0070C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b/>
      <vertAlign val="superscript"/>
      <sz val="1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19"/>
      <name val="宋体"/>
      <family val="3"/>
      <charset val="134"/>
    </font>
    <font>
      <sz val="16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vertAlign val="superscript"/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vertAlign val="superscript"/>
      <sz val="10.5"/>
      <color theme="1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b/>
      <vertAlign val="superscript"/>
      <sz val="12"/>
      <name val="宋体"/>
      <family val="3"/>
      <charset val="134"/>
    </font>
    <font>
      <sz val="10"/>
      <name val="Times New Roman"/>
      <family val="1"/>
    </font>
    <font>
      <sz val="12"/>
      <name val="SimSun"/>
      <charset val="134"/>
    </font>
    <font>
      <sz val="12"/>
      <color theme="1"/>
      <name val="Calibri"/>
      <family val="2"/>
    </font>
    <font>
      <sz val="10"/>
      <color indexed="49"/>
      <name val="宋体"/>
      <family val="3"/>
      <charset val="134"/>
    </font>
    <font>
      <vertAlign val="superscript"/>
      <sz val="11"/>
      <color rgb="FF9C65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20"/>
      <name val="宋体"/>
      <family val="3"/>
      <charset val="134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6"/>
      <color rgb="FFFF0000"/>
      <name val="黑体"/>
      <family val="3"/>
      <charset val="134"/>
    </font>
    <font>
      <b/>
      <sz val="16"/>
      <color rgb="FFFF0000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176" fontId="2" fillId="2" borderId="3" xfId="0" applyNumberFormat="1" applyFont="1" applyFill="1" applyBorder="1" applyAlignment="1">
      <alignment horizontal="center" vertical="center"/>
    </xf>
    <xf numFmtId="181" fontId="2" fillId="4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3" xfId="0" applyFont="1" applyBorder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7" borderId="3" xfId="0" applyFill="1" applyBorder="1">
      <alignment vertical="center"/>
    </xf>
    <xf numFmtId="0" fontId="0" fillId="0" borderId="6" xfId="0" applyBorder="1">
      <alignment vertical="center"/>
    </xf>
    <xf numFmtId="0" fontId="11" fillId="0" borderId="3" xfId="0" applyFont="1" applyBorder="1">
      <alignment vertical="center"/>
    </xf>
    <xf numFmtId="179" fontId="0" fillId="8" borderId="3" xfId="0" applyNumberFormat="1" applyFill="1" applyBorder="1">
      <alignment vertical="center"/>
    </xf>
    <xf numFmtId="0" fontId="12" fillId="0" borderId="10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justify" vertical="top" wrapText="1"/>
    </xf>
    <xf numFmtId="0" fontId="14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10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wrapText="1"/>
    </xf>
    <xf numFmtId="0" fontId="18" fillId="0" borderId="19" xfId="0" applyFont="1" applyBorder="1" applyAlignment="1">
      <alignment horizontal="center" vertical="center"/>
    </xf>
    <xf numFmtId="182" fontId="18" fillId="0" borderId="3" xfId="0" applyNumberFormat="1" applyFont="1" applyBorder="1" applyAlignment="1">
      <alignment horizontal="center" vertical="center"/>
    </xf>
    <xf numFmtId="182" fontId="18" fillId="11" borderId="3" xfId="0" applyNumberFormat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82" fontId="19" fillId="0" borderId="3" xfId="0" applyNumberFormat="1" applyFont="1" applyBorder="1" applyAlignment="1">
      <alignment horizontal="center" vertical="center"/>
    </xf>
    <xf numFmtId="182" fontId="19" fillId="11" borderId="3" xfId="0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82" fontId="19" fillId="0" borderId="2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9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7" fillId="0" borderId="24" xfId="0" applyFont="1" applyBorder="1" applyAlignment="1">
      <alignment horizontal="center" wrapText="1"/>
    </xf>
    <xf numFmtId="182" fontId="18" fillId="0" borderId="24" xfId="0" applyNumberFormat="1" applyFont="1" applyBorder="1" applyAlignment="1">
      <alignment horizontal="center" vertical="center"/>
    </xf>
    <xf numFmtId="182" fontId="19" fillId="0" borderId="24" xfId="0" applyNumberFormat="1" applyFont="1" applyBorder="1" applyAlignment="1">
      <alignment horizontal="center" vertical="center"/>
    </xf>
    <xf numFmtId="182" fontId="19" fillId="12" borderId="3" xfId="0" applyNumberFormat="1" applyFont="1" applyFill="1" applyBorder="1" applyAlignment="1">
      <alignment horizontal="center" vertical="center"/>
    </xf>
    <xf numFmtId="182" fontId="18" fillId="12" borderId="3" xfId="0" applyNumberFormat="1" applyFont="1" applyFill="1" applyBorder="1" applyAlignment="1">
      <alignment horizontal="center" vertical="center"/>
    </xf>
    <xf numFmtId="182" fontId="19" fillId="13" borderId="3" xfId="0" applyNumberFormat="1" applyFont="1" applyFill="1" applyBorder="1" applyAlignment="1">
      <alignment horizontal="center" vertical="center"/>
    </xf>
    <xf numFmtId="182" fontId="18" fillId="13" borderId="3" xfId="0" applyNumberFormat="1" applyFont="1" applyFill="1" applyBorder="1" applyAlignment="1">
      <alignment horizontal="center" vertical="center"/>
    </xf>
    <xf numFmtId="182" fontId="19" fillId="0" borderId="25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" fillId="5" borderId="16" xfId="0" applyFont="1" applyFill="1" applyBorder="1">
      <alignment vertical="center"/>
    </xf>
    <xf numFmtId="0" fontId="2" fillId="0" borderId="22" xfId="0" applyFont="1" applyBorder="1">
      <alignment vertical="center"/>
    </xf>
    <xf numFmtId="0" fontId="2" fillId="5" borderId="22" xfId="0" applyFont="1" applyFill="1" applyBorder="1">
      <alignment vertical="center"/>
    </xf>
    <xf numFmtId="0" fontId="2" fillId="14" borderId="19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15" borderId="3" xfId="0" applyFont="1" applyFill="1" applyBorder="1">
      <alignment vertical="center"/>
    </xf>
    <xf numFmtId="0" fontId="2" fillId="5" borderId="19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15" borderId="19" xfId="0" applyFont="1" applyFill="1" applyBorder="1">
      <alignment vertical="center"/>
    </xf>
    <xf numFmtId="0" fontId="2" fillId="14" borderId="3" xfId="0" applyFont="1" applyFill="1" applyBorder="1">
      <alignment vertical="center"/>
    </xf>
    <xf numFmtId="0" fontId="2" fillId="0" borderId="19" xfId="0" applyFont="1" applyBorder="1">
      <alignment vertical="center"/>
    </xf>
    <xf numFmtId="0" fontId="2" fillId="15" borderId="20" xfId="0" applyFont="1" applyFill="1" applyBorder="1">
      <alignment vertical="center"/>
    </xf>
    <xf numFmtId="0" fontId="2" fillId="0" borderId="21" xfId="0" applyFont="1" applyBorder="1">
      <alignment vertical="center"/>
    </xf>
    <xf numFmtId="0" fontId="2" fillId="15" borderId="21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16" borderId="3" xfId="0" applyFont="1" applyFill="1" applyBorder="1">
      <alignment vertical="center"/>
    </xf>
    <xf numFmtId="0" fontId="2" fillId="17" borderId="3" xfId="0" applyFont="1" applyFill="1" applyBorder="1">
      <alignment vertical="center"/>
    </xf>
    <xf numFmtId="0" fontId="2" fillId="0" borderId="26" xfId="0" applyFont="1" applyBorder="1">
      <alignment vertical="center"/>
    </xf>
    <xf numFmtId="0" fontId="2" fillId="15" borderId="24" xfId="0" applyFont="1" applyFill="1" applyBorder="1">
      <alignment vertical="center"/>
    </xf>
    <xf numFmtId="0" fontId="2" fillId="0" borderId="24" xfId="0" applyFont="1" applyBorder="1">
      <alignment vertical="center"/>
    </xf>
    <xf numFmtId="0" fontId="2" fillId="14" borderId="25" xfId="0" applyFont="1" applyFill="1" applyBorder="1">
      <alignment vertical="center"/>
    </xf>
    <xf numFmtId="0" fontId="2" fillId="7" borderId="0" xfId="0" applyFont="1" applyFill="1">
      <alignment vertical="center"/>
    </xf>
    <xf numFmtId="0" fontId="21" fillId="0" borderId="3" xfId="0" applyFont="1" applyBorder="1" applyAlignment="1">
      <alignment horizontal="center" vertical="center"/>
    </xf>
    <xf numFmtId="0" fontId="22" fillId="18" borderId="3" xfId="4" applyBorder="1" applyAlignment="1">
      <alignment horizontal="center" vertical="center"/>
    </xf>
    <xf numFmtId="0" fontId="23" fillId="19" borderId="3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18" borderId="2" xfId="4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20" borderId="8" xfId="3" applyBorder="1" applyAlignment="1">
      <alignment vertical="center"/>
    </xf>
    <xf numFmtId="0" fontId="25" fillId="21" borderId="8" xfId="1" applyBorder="1" applyAlignment="1">
      <alignment horizontal="center" vertical="center"/>
    </xf>
    <xf numFmtId="0" fontId="0" fillId="0" borderId="27" xfId="0" applyBorder="1">
      <alignment vertical="center"/>
    </xf>
    <xf numFmtId="0" fontId="24" fillId="20" borderId="3" xfId="3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14" borderId="31" xfId="0" applyFont="1" applyFill="1" applyBorder="1" applyAlignment="1">
      <alignment horizontal="center" wrapText="1"/>
    </xf>
    <xf numFmtId="0" fontId="29" fillId="14" borderId="32" xfId="0" applyFont="1" applyFill="1" applyBorder="1" applyAlignment="1">
      <alignment horizontal="center" wrapText="1"/>
    </xf>
    <xf numFmtId="0" fontId="29" fillId="9" borderId="32" xfId="0" applyFont="1" applyFill="1" applyBorder="1" applyAlignment="1">
      <alignment horizontal="center" wrapText="1"/>
    </xf>
    <xf numFmtId="0" fontId="29" fillId="6" borderId="32" xfId="0" applyFont="1" applyFill="1" applyBorder="1" applyAlignment="1">
      <alignment horizontal="center" wrapText="1"/>
    </xf>
    <xf numFmtId="0" fontId="29" fillId="22" borderId="32" xfId="0" applyFont="1" applyFill="1" applyBorder="1" applyAlignment="1">
      <alignment horizontal="center" wrapText="1"/>
    </xf>
    <xf numFmtId="0" fontId="19" fillId="14" borderId="32" xfId="0" applyFont="1" applyFill="1" applyBorder="1" applyAlignment="1">
      <alignment horizontal="center" wrapText="1"/>
    </xf>
    <xf numFmtId="0" fontId="2" fillId="0" borderId="0" xfId="0" applyFont="1" applyAlignment="1"/>
    <xf numFmtId="0" fontId="2" fillId="0" borderId="36" xfId="0" applyFont="1" applyBorder="1" applyAlignment="1"/>
    <xf numFmtId="0" fontId="29" fillId="23" borderId="32" xfId="0" applyFont="1" applyFill="1" applyBorder="1" applyAlignment="1">
      <alignment horizontal="center" wrapText="1"/>
    </xf>
    <xf numFmtId="0" fontId="30" fillId="9" borderId="32" xfId="0" applyFont="1" applyFill="1" applyBorder="1" applyAlignment="1">
      <alignment horizontal="center" wrapText="1"/>
    </xf>
    <xf numFmtId="0" fontId="2" fillId="0" borderId="38" xfId="0" applyFont="1" applyBorder="1" applyAlignment="1"/>
    <xf numFmtId="0" fontId="2" fillId="0" borderId="39" xfId="0" applyFont="1" applyBorder="1" applyAlignment="1"/>
    <xf numFmtId="0" fontId="25" fillId="21" borderId="3" xfId="1" applyBorder="1" applyAlignment="1">
      <alignment horizontal="center" vertical="center"/>
    </xf>
    <xf numFmtId="0" fontId="25" fillId="21" borderId="3" xfId="1" applyBorder="1" applyAlignment="1" applyProtection="1">
      <alignment horizontal="center" vertical="center"/>
    </xf>
    <xf numFmtId="0" fontId="25" fillId="21" borderId="2" xfId="1" applyBorder="1" applyAlignment="1" applyProtection="1">
      <alignment horizontal="center" vertical="center"/>
    </xf>
    <xf numFmtId="0" fontId="23" fillId="19" borderId="8" xfId="2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2" fillId="0" borderId="16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49" fontId="32" fillId="0" borderId="19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24" fillId="20" borderId="8" xfId="3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34" fillId="7" borderId="0" xfId="0" applyFont="1" applyFill="1">
      <alignment vertical="center"/>
    </xf>
    <xf numFmtId="0" fontId="50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24" fillId="20" borderId="6" xfId="3" applyBorder="1" applyAlignment="1">
      <alignment horizontal="right" vertical="center"/>
    </xf>
    <xf numFmtId="0" fontId="24" fillId="20" borderId="7" xfId="3" applyBorder="1" applyAlignment="1">
      <alignment horizontal="right" vertical="center"/>
    </xf>
    <xf numFmtId="0" fontId="24" fillId="20" borderId="7" xfId="3" applyBorder="1" applyAlignment="1">
      <alignment horizontal="left" vertical="center"/>
    </xf>
    <xf numFmtId="0" fontId="24" fillId="20" borderId="8" xfId="3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23" fillId="19" borderId="6" xfId="2" applyBorder="1" applyAlignment="1">
      <alignment horizontal="right" vertical="center"/>
    </xf>
    <xf numFmtId="0" fontId="23" fillId="19" borderId="7" xfId="2" applyBorder="1" applyAlignment="1">
      <alignment horizontal="right" vertical="center"/>
    </xf>
    <xf numFmtId="0" fontId="3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3" fillId="19" borderId="7" xfId="2" applyBorder="1" applyAlignment="1">
      <alignment horizontal="left" vertical="center"/>
    </xf>
    <xf numFmtId="0" fontId="23" fillId="19" borderId="8" xfId="2" applyBorder="1" applyAlignment="1">
      <alignment horizontal="left" vertical="center"/>
    </xf>
    <xf numFmtId="0" fontId="25" fillId="21" borderId="3" xfId="1" applyBorder="1" applyAlignment="1">
      <alignment horizontal="center" vertical="center"/>
    </xf>
    <xf numFmtId="0" fontId="25" fillId="21" borderId="6" xfId="1" applyBorder="1" applyAlignment="1">
      <alignment horizontal="right" vertical="center"/>
    </xf>
    <xf numFmtId="0" fontId="25" fillId="21" borderId="7" xfId="1" applyBorder="1" applyAlignment="1">
      <alignment horizontal="right" vertical="center"/>
    </xf>
    <xf numFmtId="0" fontId="25" fillId="21" borderId="7" xfId="1" applyBorder="1" applyAlignment="1">
      <alignment horizontal="left" vertical="center"/>
    </xf>
    <xf numFmtId="0" fontId="25" fillId="21" borderId="8" xfId="1" applyBorder="1" applyAlignment="1">
      <alignment horizontal="left" vertical="center"/>
    </xf>
    <xf numFmtId="0" fontId="0" fillId="0" borderId="4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9" fillId="0" borderId="37" xfId="0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0" fontId="29" fillId="0" borderId="39" xfId="0" applyFont="1" applyBorder="1" applyAlignment="1">
      <alignment horizontal="left" wrapText="1"/>
    </xf>
    <xf numFmtId="0" fontId="2" fillId="0" borderId="3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9" fillId="0" borderId="37" xfId="0" applyFont="1" applyBorder="1" applyAlignment="1">
      <alignment horizontal="center" wrapText="1"/>
    </xf>
    <xf numFmtId="0" fontId="29" fillId="0" borderId="0" xfId="0" applyFont="1" applyAlignment="1">
      <alignment horizontal="center" wrapText="1"/>
    </xf>
    <xf numFmtId="0" fontId="29" fillId="0" borderId="39" xfId="0" applyFont="1" applyBorder="1" applyAlignment="1">
      <alignment horizontal="center" wrapText="1"/>
    </xf>
    <xf numFmtId="0" fontId="2" fillId="0" borderId="34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30" fillId="9" borderId="29" xfId="0" applyFont="1" applyFill="1" applyBorder="1" applyAlignment="1">
      <alignment horizontal="center" wrapText="1"/>
    </xf>
    <xf numFmtId="0" fontId="30" fillId="9" borderId="30" xfId="0" applyFont="1" applyFill="1" applyBorder="1" applyAlignment="1">
      <alignment horizontal="center" wrapText="1"/>
    </xf>
    <xf numFmtId="0" fontId="19" fillId="14" borderId="29" xfId="0" applyFont="1" applyFill="1" applyBorder="1" applyAlignment="1">
      <alignment horizontal="center" wrapText="1"/>
    </xf>
    <xf numFmtId="0" fontId="19" fillId="14" borderId="30" xfId="0" applyFont="1" applyFill="1" applyBorder="1" applyAlignment="1">
      <alignment horizontal="center" wrapText="1"/>
    </xf>
    <xf numFmtId="0" fontId="19" fillId="22" borderId="29" xfId="0" applyFont="1" applyFill="1" applyBorder="1" applyAlignment="1">
      <alignment horizontal="center" wrapText="1"/>
    </xf>
    <xf numFmtId="0" fontId="19" fillId="22" borderId="30" xfId="0" applyFont="1" applyFill="1" applyBorder="1" applyAlignment="1">
      <alignment horizontal="center" wrapText="1"/>
    </xf>
    <xf numFmtId="0" fontId="19" fillId="0" borderId="34" xfId="0" applyFont="1" applyBorder="1" applyAlignment="1">
      <alignment horizontal="center" wrapText="1"/>
    </xf>
    <xf numFmtId="0" fontId="19" fillId="0" borderId="28" xfId="0" applyFont="1" applyBorder="1" applyAlignment="1">
      <alignment horizontal="center" wrapText="1"/>
    </xf>
    <xf numFmtId="0" fontId="19" fillId="0" borderId="32" xfId="0" applyFont="1" applyBorder="1" applyAlignment="1">
      <alignment horizontal="center" wrapText="1"/>
    </xf>
    <xf numFmtId="0" fontId="29" fillId="0" borderId="35" xfId="0" applyFont="1" applyBorder="1" applyAlignment="1">
      <alignment horizontal="left" wrapText="1"/>
    </xf>
    <xf numFmtId="0" fontId="29" fillId="0" borderId="36" xfId="0" applyFont="1" applyBorder="1" applyAlignment="1">
      <alignment horizontal="left" wrapText="1"/>
    </xf>
    <xf numFmtId="0" fontId="29" fillId="0" borderId="38" xfId="0" applyFont="1" applyBorder="1" applyAlignment="1">
      <alignment horizontal="left" wrapText="1"/>
    </xf>
    <xf numFmtId="0" fontId="29" fillId="9" borderId="29" xfId="0" applyFont="1" applyFill="1" applyBorder="1" applyAlignment="1">
      <alignment horizontal="center" wrapText="1"/>
    </xf>
    <xf numFmtId="0" fontId="29" fillId="9" borderId="30" xfId="0" applyFont="1" applyFill="1" applyBorder="1" applyAlignment="1">
      <alignment horizontal="center" wrapText="1"/>
    </xf>
    <xf numFmtId="0" fontId="19" fillId="0" borderId="29" xfId="0" applyFont="1" applyBorder="1" applyAlignment="1">
      <alignment horizontal="center" wrapText="1"/>
    </xf>
    <xf numFmtId="0" fontId="19" fillId="0" borderId="33" xfId="0" applyFont="1" applyBorder="1" applyAlignment="1">
      <alignment horizontal="center" wrapText="1"/>
    </xf>
    <xf numFmtId="0" fontId="19" fillId="0" borderId="30" xfId="0" applyFont="1" applyBorder="1" applyAlignment="1">
      <alignment horizontal="center" wrapText="1"/>
    </xf>
    <xf numFmtId="0" fontId="29" fillId="22" borderId="29" xfId="0" applyFont="1" applyFill="1" applyBorder="1" applyAlignment="1">
      <alignment horizontal="center" wrapText="1"/>
    </xf>
    <xf numFmtId="0" fontId="29" fillId="22" borderId="30" xfId="0" applyFont="1" applyFill="1" applyBorder="1" applyAlignment="1">
      <alignment horizontal="center" wrapText="1"/>
    </xf>
    <xf numFmtId="0" fontId="29" fillId="14" borderId="29" xfId="0" applyFont="1" applyFill="1" applyBorder="1" applyAlignment="1">
      <alignment wrapText="1"/>
    </xf>
    <xf numFmtId="0" fontId="29" fillId="14" borderId="30" xfId="0" applyFont="1" applyFill="1" applyBorder="1" applyAlignment="1">
      <alignment wrapText="1"/>
    </xf>
    <xf numFmtId="0" fontId="28" fillId="0" borderId="28" xfId="0" applyFont="1" applyBorder="1" applyAlignment="1">
      <alignment horizontal="center"/>
    </xf>
    <xf numFmtId="0" fontId="29" fillId="14" borderId="29" xfId="0" applyFont="1" applyFill="1" applyBorder="1" applyAlignment="1">
      <alignment horizontal="center" wrapText="1"/>
    </xf>
    <xf numFmtId="0" fontId="29" fillId="14" borderId="30" xfId="0" applyFont="1" applyFill="1" applyBorder="1" applyAlignment="1">
      <alignment horizontal="center" wrapText="1"/>
    </xf>
    <xf numFmtId="0" fontId="29" fillId="6" borderId="29" xfId="0" applyFont="1" applyFill="1" applyBorder="1" applyAlignment="1">
      <alignment horizontal="center" wrapText="1"/>
    </xf>
    <xf numFmtId="0" fontId="29" fillId="6" borderId="30" xfId="0" applyFont="1" applyFill="1" applyBorder="1" applyAlignment="1">
      <alignment horizontal="center" wrapText="1"/>
    </xf>
    <xf numFmtId="0" fontId="29" fillId="23" borderId="29" xfId="0" applyFont="1" applyFill="1" applyBorder="1" applyAlignment="1">
      <alignment horizontal="left" wrapText="1" indent="3"/>
    </xf>
    <xf numFmtId="0" fontId="29" fillId="23" borderId="30" xfId="0" applyFont="1" applyFill="1" applyBorder="1" applyAlignment="1">
      <alignment horizontal="left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4" fillId="20" borderId="3" xfId="3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4" fillId="20" borderId="6" xfId="3" applyBorder="1" applyAlignment="1">
      <alignment horizontal="center" vertical="center"/>
    </xf>
    <xf numFmtId="0" fontId="24" fillId="20" borderId="7" xfId="3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1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76" fontId="2" fillId="5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/>
    </xf>
    <xf numFmtId="180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Alignment="1" applyProtection="1">
      <alignment horizontal="center" vertical="center"/>
      <protection locked="0"/>
    </xf>
    <xf numFmtId="179" fontId="2" fillId="4" borderId="6" xfId="0" applyNumberFormat="1" applyFont="1" applyFill="1" applyBorder="1" applyAlignment="1">
      <alignment horizontal="center" vertical="center"/>
    </xf>
    <xf numFmtId="179" fontId="2" fillId="4" borderId="7" xfId="0" applyNumberFormat="1" applyFont="1" applyFill="1" applyBorder="1" applyAlignment="1">
      <alignment horizontal="center" vertical="center"/>
    </xf>
    <xf numFmtId="179" fontId="2" fillId="4" borderId="8" xfId="0" applyNumberFormat="1" applyFont="1" applyFill="1" applyBorder="1" applyAlignment="1">
      <alignment horizontal="center" vertical="center"/>
    </xf>
    <xf numFmtId="176" fontId="2" fillId="0" borderId="6" xfId="0" applyNumberFormat="1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8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 applyProtection="1">
      <alignment horizontal="center" vertical="center"/>
      <protection locked="0"/>
    </xf>
    <xf numFmtId="179" fontId="2" fillId="0" borderId="3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76" fontId="5" fillId="5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2" fillId="2" borderId="3" xfId="0" applyFont="1" applyFill="1" applyBorder="1">
      <alignment vertical="center"/>
    </xf>
    <xf numFmtId="180" fontId="2" fillId="4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  <protection locked="0"/>
    </xf>
    <xf numFmtId="178" fontId="2" fillId="4" borderId="3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3" borderId="3" xfId="0" applyFont="1" applyFill="1" applyBorder="1" applyAlignment="1" applyProtection="1">
      <alignment horizontal="center" vertical="center" wrapText="1"/>
      <protection locked="0"/>
    </xf>
  </cellXfs>
  <cellStyles count="5">
    <cellStyle name="差" xfId="2" builtinId="27"/>
    <cellStyle name="常规" xfId="0" builtinId="0"/>
    <cellStyle name="好" xfId="1" builtinId="26"/>
    <cellStyle name="适中" xfId="3" builtinId="28"/>
    <cellStyle name="着色 1" xfId="4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161925</xdr:rowOff>
    </xdr:from>
    <xdr:to>
      <xdr:col>26</xdr:col>
      <xdr:colOff>24130</xdr:colOff>
      <xdr:row>25</xdr:row>
      <xdr:rowOff>136525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0" y="161925"/>
          <a:ext cx="4344670" cy="4297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0</xdr:row>
      <xdr:rowOff>0</xdr:rowOff>
    </xdr:from>
    <xdr:to>
      <xdr:col>12</xdr:col>
      <xdr:colOff>9525</xdr:colOff>
      <xdr:row>1</xdr:row>
      <xdr:rowOff>19050</xdr:rowOff>
    </xdr:to>
    <xdr:pic>
      <xdr:nvPicPr>
        <xdr:cNvPr id="2" name="Picture 1" descr="标志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0"/>
          <a:ext cx="653415" cy="300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76835</xdr:colOff>
      <xdr:row>2</xdr:row>
      <xdr:rowOff>76200</xdr:rowOff>
    </xdr:from>
    <xdr:to>
      <xdr:col>18</xdr:col>
      <xdr:colOff>427990</xdr:colOff>
      <xdr:row>17</xdr:row>
      <xdr:rowOff>157480</xdr:rowOff>
    </xdr:to>
    <xdr:pic>
      <xdr:nvPicPr>
        <xdr:cNvPr id="3" name="图片 2" descr="815922aaecf5ad8390a131995c9e44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3110" y="657225"/>
          <a:ext cx="4465955" cy="2948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142876</xdr:rowOff>
    </xdr:from>
    <xdr:to>
      <xdr:col>14</xdr:col>
      <xdr:colOff>0</xdr:colOff>
      <xdr:row>52</xdr:row>
      <xdr:rowOff>30481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8555" t="3604" r="43234" b="23123"/>
        <a:stretch>
          <a:fillRect/>
        </a:stretch>
      </xdr:blipFill>
      <xdr:spPr>
        <a:xfrm>
          <a:off x="0" y="1971675"/>
          <a:ext cx="9197340" cy="75685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2</xdr:col>
      <xdr:colOff>0</xdr:colOff>
      <xdr:row>31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3558540" y="643890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9"/>
  <sheetViews>
    <sheetView tabSelected="1" topLeftCell="A10" zoomScaleNormal="100" workbookViewId="0">
      <selection activeCell="R23" sqref="R23"/>
    </sheetView>
  </sheetViews>
  <sheetFormatPr defaultColWidth="9" defaultRowHeight="13.5"/>
  <cols>
    <col min="1" max="1" width="8.125" customWidth="1"/>
    <col min="2" max="2" width="8" style="17" customWidth="1"/>
    <col min="3" max="3" width="8.125" style="17" customWidth="1"/>
    <col min="4" max="4" width="8.625" style="17" customWidth="1"/>
    <col min="5" max="5" width="8.25" style="17" customWidth="1"/>
    <col min="6" max="6" width="5.875" style="17" customWidth="1"/>
    <col min="7" max="7" width="8.125" customWidth="1"/>
    <col min="8" max="8" width="8" customWidth="1"/>
    <col min="9" max="9" width="8.125" customWidth="1"/>
    <col min="10" max="10" width="8.625" customWidth="1"/>
    <col min="11" max="11" width="8.25" customWidth="1"/>
    <col min="12" max="12" width="5.875" customWidth="1"/>
    <col min="13" max="13" width="11.125" customWidth="1"/>
    <col min="14" max="14" width="13.75" style="17" customWidth="1"/>
    <col min="15" max="18" width="9" style="17"/>
  </cols>
  <sheetData>
    <row r="1" spans="1:26" ht="33.75" customHeight="1">
      <c r="A1" s="157" t="s">
        <v>814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9" t="s">
        <v>817</v>
      </c>
      <c r="N1" s="159"/>
      <c r="O1" s="159"/>
      <c r="P1" s="159"/>
      <c r="Q1" s="159"/>
      <c r="R1" s="160" t="s">
        <v>818</v>
      </c>
      <c r="S1" s="160"/>
      <c r="T1" s="160"/>
      <c r="U1" s="160"/>
      <c r="V1" s="160"/>
      <c r="W1" s="160"/>
      <c r="X1" s="160"/>
      <c r="Y1" s="160"/>
      <c r="Z1" s="160"/>
    </row>
    <row r="2" spans="1:26" ht="33.75" customHeight="1">
      <c r="A2" s="158" t="s">
        <v>815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1:26">
      <c r="A3" s="161" t="s">
        <v>0</v>
      </c>
      <c r="B3" s="169" t="s">
        <v>1</v>
      </c>
      <c r="C3" s="169"/>
      <c r="D3" s="169"/>
      <c r="E3" s="169"/>
      <c r="F3" s="169"/>
      <c r="G3" s="170" t="s">
        <v>2</v>
      </c>
      <c r="H3" s="169" t="s">
        <v>3</v>
      </c>
      <c r="I3" s="169"/>
      <c r="J3" s="169"/>
      <c r="K3" s="169"/>
      <c r="L3" s="169"/>
      <c r="M3" s="189" t="s">
        <v>4</v>
      </c>
      <c r="N3" s="169" t="s">
        <v>5</v>
      </c>
      <c r="O3" s="169"/>
      <c r="P3" s="169"/>
      <c r="Q3" s="169"/>
      <c r="R3" s="169"/>
      <c r="S3" s="169"/>
    </row>
    <row r="4" spans="1:26" ht="13.5" customHeight="1">
      <c r="A4" s="162"/>
      <c r="B4" s="20" t="s">
        <v>6</v>
      </c>
      <c r="C4" s="20" t="s">
        <v>7</v>
      </c>
      <c r="D4" s="20" t="s">
        <v>8</v>
      </c>
      <c r="E4" s="20" t="s">
        <v>9</v>
      </c>
      <c r="F4" s="169"/>
      <c r="G4" s="170"/>
      <c r="H4" s="20" t="s">
        <v>6</v>
      </c>
      <c r="I4" s="20" t="s">
        <v>7</v>
      </c>
      <c r="J4" s="20" t="s">
        <v>8</v>
      </c>
      <c r="K4" s="20" t="s">
        <v>9</v>
      </c>
      <c r="L4" s="169"/>
      <c r="M4" s="190"/>
      <c r="N4" s="20" t="s">
        <v>10</v>
      </c>
      <c r="O4" s="20" t="s">
        <v>11</v>
      </c>
      <c r="P4" s="20" t="s">
        <v>12</v>
      </c>
      <c r="Q4" s="20" t="s">
        <v>8</v>
      </c>
      <c r="R4" s="20" t="s">
        <v>13</v>
      </c>
      <c r="S4" s="20" t="s">
        <v>14</v>
      </c>
    </row>
    <row r="5" spans="1:26">
      <c r="A5" s="162"/>
      <c r="B5" s="20">
        <v>34</v>
      </c>
      <c r="C5" s="20">
        <v>1.85</v>
      </c>
      <c r="D5" s="110"/>
      <c r="E5" s="20">
        <f>C5*D5</f>
        <v>0</v>
      </c>
      <c r="F5" s="169"/>
      <c r="G5" s="170"/>
      <c r="H5" s="20">
        <f>B5</f>
        <v>34</v>
      </c>
      <c r="I5" s="20">
        <f>C5</f>
        <v>1.85</v>
      </c>
      <c r="J5" s="110">
        <f>D5</f>
        <v>0</v>
      </c>
      <c r="K5" s="20">
        <f>I5*J5</f>
        <v>0</v>
      </c>
      <c r="L5" s="169"/>
      <c r="M5" s="190"/>
      <c r="N5" s="139" t="s">
        <v>15</v>
      </c>
      <c r="O5" s="20">
        <v>6</v>
      </c>
      <c r="P5" s="20">
        <v>1</v>
      </c>
      <c r="Q5" s="110"/>
      <c r="R5" s="20">
        <f>O5*Q5</f>
        <v>0</v>
      </c>
      <c r="S5" s="20">
        <f>P5*Q5</f>
        <v>0</v>
      </c>
    </row>
    <row r="6" spans="1:26">
      <c r="A6" s="162"/>
      <c r="B6" s="20">
        <v>51</v>
      </c>
      <c r="C6" s="20">
        <v>2.8</v>
      </c>
      <c r="D6" s="111"/>
      <c r="E6" s="20">
        <f t="shared" ref="E6:E11" si="0">C6*D6</f>
        <v>0</v>
      </c>
      <c r="F6" s="169"/>
      <c r="G6" s="170"/>
      <c r="H6" s="20">
        <f t="shared" ref="H6:H15" si="1">B6</f>
        <v>51</v>
      </c>
      <c r="I6" s="20">
        <f t="shared" ref="I6:I15" si="2">C6</f>
        <v>2.8</v>
      </c>
      <c r="J6" s="110">
        <f t="shared" ref="J6:J14" si="3">D6</f>
        <v>0</v>
      </c>
      <c r="K6" s="20">
        <f t="shared" ref="K6:K15" si="4">I6*J6</f>
        <v>0</v>
      </c>
      <c r="L6" s="169"/>
      <c r="M6" s="190"/>
      <c r="N6" s="139" t="s">
        <v>16</v>
      </c>
      <c r="O6" s="20">
        <v>8</v>
      </c>
      <c r="P6" s="20">
        <v>1</v>
      </c>
      <c r="Q6" s="110"/>
      <c r="R6" s="20">
        <f t="shared" ref="R6:R10" si="5">O6*Q6</f>
        <v>0</v>
      </c>
      <c r="S6" s="20">
        <f t="shared" ref="S6:S10" si="6">P6*Q6</f>
        <v>0</v>
      </c>
    </row>
    <row r="7" spans="1:26">
      <c r="A7" s="162"/>
      <c r="B7" s="20">
        <v>68</v>
      </c>
      <c r="C7" s="20">
        <v>3.6</v>
      </c>
      <c r="D7" s="111"/>
      <c r="E7" s="20">
        <f t="shared" si="0"/>
        <v>0</v>
      </c>
      <c r="F7" s="169"/>
      <c r="G7" s="170"/>
      <c r="H7" s="20">
        <f t="shared" si="1"/>
        <v>68</v>
      </c>
      <c r="I7" s="20">
        <f t="shared" si="2"/>
        <v>3.6</v>
      </c>
      <c r="J7" s="110">
        <f t="shared" si="3"/>
        <v>0</v>
      </c>
      <c r="K7" s="20">
        <f t="shared" si="4"/>
        <v>0</v>
      </c>
      <c r="L7" s="169"/>
      <c r="M7" s="190"/>
      <c r="N7" s="139" t="s">
        <v>17</v>
      </c>
      <c r="O7" s="20">
        <v>11.2</v>
      </c>
      <c r="P7" s="20">
        <v>1</v>
      </c>
      <c r="Q7" s="110">
        <v>3</v>
      </c>
      <c r="R7" s="20">
        <f t="shared" si="5"/>
        <v>33.599999999999994</v>
      </c>
      <c r="S7" s="20">
        <f t="shared" si="6"/>
        <v>3</v>
      </c>
    </row>
    <row r="8" spans="1:26">
      <c r="A8" s="162"/>
      <c r="B8" s="20">
        <v>85</v>
      </c>
      <c r="C8" s="20">
        <v>4.5</v>
      </c>
      <c r="D8" s="111"/>
      <c r="E8" s="20">
        <f t="shared" si="0"/>
        <v>0</v>
      </c>
      <c r="F8" s="169"/>
      <c r="G8" s="170"/>
      <c r="H8" s="20">
        <f t="shared" si="1"/>
        <v>85</v>
      </c>
      <c r="I8" s="20">
        <f t="shared" si="2"/>
        <v>4.5</v>
      </c>
      <c r="J8" s="110">
        <f t="shared" si="3"/>
        <v>0</v>
      </c>
      <c r="K8" s="20">
        <f t="shared" si="4"/>
        <v>0</v>
      </c>
      <c r="L8" s="169"/>
      <c r="M8" s="190"/>
      <c r="N8" s="139" t="s">
        <v>18</v>
      </c>
      <c r="O8" s="20">
        <v>13.7</v>
      </c>
      <c r="P8" s="20">
        <v>1.5</v>
      </c>
      <c r="Q8" s="110"/>
      <c r="R8" s="20">
        <f t="shared" si="5"/>
        <v>0</v>
      </c>
      <c r="S8" s="20">
        <f t="shared" si="6"/>
        <v>0</v>
      </c>
    </row>
    <row r="9" spans="1:26">
      <c r="A9" s="162"/>
      <c r="B9" s="20">
        <v>102</v>
      </c>
      <c r="C9" s="20">
        <v>5.5</v>
      </c>
      <c r="D9" s="111"/>
      <c r="E9" s="20">
        <f t="shared" si="0"/>
        <v>0</v>
      </c>
      <c r="F9" s="169"/>
      <c r="G9" s="170"/>
      <c r="H9" s="20">
        <f t="shared" si="1"/>
        <v>102</v>
      </c>
      <c r="I9" s="20">
        <f t="shared" si="2"/>
        <v>5.5</v>
      </c>
      <c r="J9" s="110">
        <f t="shared" si="3"/>
        <v>0</v>
      </c>
      <c r="K9" s="20">
        <f t="shared" si="4"/>
        <v>0</v>
      </c>
      <c r="L9" s="169"/>
      <c r="M9" s="190"/>
      <c r="N9" s="139" t="s">
        <v>19</v>
      </c>
      <c r="O9" s="20">
        <v>22.3</v>
      </c>
      <c r="P9" s="20">
        <v>1.75</v>
      </c>
      <c r="Q9" s="110"/>
      <c r="R9" s="20">
        <f t="shared" si="5"/>
        <v>0</v>
      </c>
      <c r="S9" s="20">
        <f t="shared" si="6"/>
        <v>0</v>
      </c>
    </row>
    <row r="10" spans="1:26">
      <c r="A10" s="162"/>
      <c r="B10" s="20">
        <v>136</v>
      </c>
      <c r="C10" s="20">
        <v>7.35</v>
      </c>
      <c r="D10" s="111"/>
      <c r="E10" s="20">
        <f t="shared" si="0"/>
        <v>0</v>
      </c>
      <c r="F10" s="169"/>
      <c r="G10" s="170"/>
      <c r="H10" s="20">
        <f t="shared" si="1"/>
        <v>136</v>
      </c>
      <c r="I10" s="20">
        <f t="shared" si="2"/>
        <v>7.35</v>
      </c>
      <c r="J10" s="110">
        <f t="shared" si="3"/>
        <v>0</v>
      </c>
      <c r="K10" s="20">
        <f t="shared" si="4"/>
        <v>0</v>
      </c>
      <c r="L10" s="169"/>
      <c r="M10" s="191"/>
      <c r="N10" s="139" t="s">
        <v>20</v>
      </c>
      <c r="O10" s="20">
        <v>27.5</v>
      </c>
      <c r="P10" s="20">
        <v>2</v>
      </c>
      <c r="Q10" s="110"/>
      <c r="R10" s="20">
        <f t="shared" si="5"/>
        <v>0</v>
      </c>
      <c r="S10" s="20">
        <f t="shared" si="6"/>
        <v>0</v>
      </c>
    </row>
    <row r="11" spans="1:26">
      <c r="A11" s="162"/>
      <c r="B11" s="20">
        <v>170</v>
      </c>
      <c r="C11" s="20">
        <v>9.1999999999999993</v>
      </c>
      <c r="D11" s="111"/>
      <c r="E11" s="20">
        <f t="shared" si="0"/>
        <v>0</v>
      </c>
      <c r="F11" s="169"/>
      <c r="G11" s="170"/>
      <c r="H11" s="20">
        <f t="shared" si="1"/>
        <v>170</v>
      </c>
      <c r="I11" s="20">
        <f t="shared" si="2"/>
        <v>9.1999999999999993</v>
      </c>
      <c r="J11" s="110">
        <f t="shared" si="3"/>
        <v>0</v>
      </c>
      <c r="K11" s="20">
        <f t="shared" si="4"/>
        <v>0</v>
      </c>
      <c r="L11" s="169"/>
      <c r="M11" s="114" t="s">
        <v>21</v>
      </c>
      <c r="N11" s="185">
        <v>85</v>
      </c>
      <c r="O11" s="186"/>
      <c r="P11" s="186"/>
      <c r="Q11" s="187" t="s">
        <v>22</v>
      </c>
      <c r="R11" s="187"/>
      <c r="S11" s="188"/>
    </row>
    <row r="12" spans="1:26">
      <c r="A12" s="162"/>
      <c r="B12" s="20">
        <v>204</v>
      </c>
      <c r="C12" s="20">
        <v>11</v>
      </c>
      <c r="D12" s="111"/>
      <c r="E12" s="20">
        <f t="shared" ref="E12:E15" si="7">C12*D12</f>
        <v>0</v>
      </c>
      <c r="F12" s="169"/>
      <c r="G12" s="170"/>
      <c r="H12" s="20">
        <f t="shared" si="1"/>
        <v>204</v>
      </c>
      <c r="I12" s="20">
        <f t="shared" si="2"/>
        <v>11</v>
      </c>
      <c r="J12" s="110">
        <f t="shared" si="3"/>
        <v>0</v>
      </c>
      <c r="K12" s="20">
        <f t="shared" si="4"/>
        <v>0</v>
      </c>
      <c r="L12" s="169"/>
      <c r="M12" s="114" t="s">
        <v>23</v>
      </c>
      <c r="N12" s="164">
        <f>SUM(S5:S10)+3.1+0.12*N11</f>
        <v>16.299999999999997</v>
      </c>
      <c r="O12" s="165"/>
      <c r="P12" s="165"/>
      <c r="Q12" s="166" t="s">
        <v>24</v>
      </c>
      <c r="R12" s="166"/>
      <c r="S12" s="167"/>
    </row>
    <row r="13" spans="1:26" ht="15.75">
      <c r="A13" s="162"/>
      <c r="B13" s="20">
        <v>238</v>
      </c>
      <c r="C13" s="20">
        <v>12.8</v>
      </c>
      <c r="D13" s="111"/>
      <c r="E13" s="20">
        <f t="shared" si="7"/>
        <v>0</v>
      </c>
      <c r="F13" s="169"/>
      <c r="G13" s="170"/>
      <c r="H13" s="20">
        <f t="shared" si="1"/>
        <v>238</v>
      </c>
      <c r="I13" s="20">
        <f t="shared" si="2"/>
        <v>12.8</v>
      </c>
      <c r="J13" s="110">
        <f t="shared" si="3"/>
        <v>0</v>
      </c>
      <c r="K13" s="20">
        <f t="shared" si="4"/>
        <v>0</v>
      </c>
      <c r="L13" s="169"/>
      <c r="M13" s="114" t="s">
        <v>25</v>
      </c>
      <c r="N13" s="164">
        <f>SUM(R5:R10)*1.2</f>
        <v>40.319999999999993</v>
      </c>
      <c r="O13" s="165"/>
      <c r="P13" s="165"/>
      <c r="Q13" s="166" t="s">
        <v>26</v>
      </c>
      <c r="R13" s="166"/>
      <c r="S13" s="167"/>
    </row>
    <row r="14" spans="1:26">
      <c r="A14" s="162"/>
      <c r="B14" s="20"/>
      <c r="C14" s="20"/>
      <c r="D14" s="111"/>
      <c r="E14" s="20">
        <f t="shared" si="7"/>
        <v>0</v>
      </c>
      <c r="F14" s="169"/>
      <c r="G14" s="170"/>
      <c r="H14" s="20">
        <f t="shared" si="1"/>
        <v>0</v>
      </c>
      <c r="I14" s="20">
        <f t="shared" si="2"/>
        <v>0</v>
      </c>
      <c r="J14" s="110">
        <f t="shared" si="3"/>
        <v>0</v>
      </c>
      <c r="K14" s="20">
        <f t="shared" si="4"/>
        <v>0</v>
      </c>
      <c r="L14" s="169"/>
      <c r="M14" s="168" t="s">
        <v>27</v>
      </c>
      <c r="N14" s="169"/>
      <c r="O14" s="169"/>
      <c r="P14" s="169"/>
      <c r="Q14" s="169"/>
      <c r="R14" s="169"/>
      <c r="S14" s="169"/>
    </row>
    <row r="15" spans="1:26">
      <c r="A15" s="163"/>
      <c r="B15" s="89"/>
      <c r="C15" s="89"/>
      <c r="D15" s="112"/>
      <c r="E15" s="20">
        <f t="shared" si="7"/>
        <v>0</v>
      </c>
      <c r="F15" s="20" t="s">
        <v>28</v>
      </c>
      <c r="G15" s="170"/>
      <c r="H15" s="20">
        <f t="shared" si="1"/>
        <v>0</v>
      </c>
      <c r="I15" s="20">
        <f t="shared" si="2"/>
        <v>0</v>
      </c>
      <c r="J15" s="110"/>
      <c r="K15" s="20">
        <f t="shared" si="4"/>
        <v>0</v>
      </c>
      <c r="L15" s="20" t="s">
        <v>28</v>
      </c>
      <c r="M15" s="184" t="s">
        <v>29</v>
      </c>
      <c r="N15" s="184"/>
      <c r="O15" s="184"/>
      <c r="P15" s="184"/>
      <c r="Q15" s="184"/>
      <c r="R15" s="184"/>
      <c r="S15" s="184"/>
    </row>
    <row r="16" spans="1:26" ht="23.25" customHeight="1">
      <c r="A16" s="91" t="s">
        <v>30</v>
      </c>
      <c r="B16" s="176">
        <f>E16/0.172</f>
        <v>0</v>
      </c>
      <c r="C16" s="177"/>
      <c r="D16" s="113" t="s">
        <v>31</v>
      </c>
      <c r="E16" s="114">
        <f>SUM(E5:E15)*0.172</f>
        <v>0</v>
      </c>
      <c r="F16" s="95">
        <f>IF(E16&lt;=1,20,IF(E16&lt;=2,25,IF(E16&lt;=4,32,IF(E16&lt;=6,40,IF(E16&lt;=11,50,IF(E16&lt;=18,65,IF(E16&lt;=32,80,IF(E16&lt;=65,100,IF(E16&lt;=115,125,IF(E16&lt;=185,150,IF(E16&lt;=380,200,IF(E16&lt;=560,250,IF(E16&lt;=820,300)))))))))))))</f>
        <v>20</v>
      </c>
      <c r="G16" s="91" t="s">
        <v>30</v>
      </c>
      <c r="H16" s="176">
        <f>SUM(K5:K15)</f>
        <v>0</v>
      </c>
      <c r="I16" s="177"/>
      <c r="J16" s="182" t="s">
        <v>31</v>
      </c>
      <c r="K16" s="183"/>
      <c r="L16" s="140">
        <f>IF(H16&lt;=7.1,20,IF(H16&lt;=18,25,IF(H16&lt;=100,32,IF(H16&lt;=176,40,IF(H16&lt;=598,50,IF(H16&lt;=1055,80,IF(H16&lt;=1512,100,IF(H16&lt;=12462,125))))))))</f>
        <v>20</v>
      </c>
      <c r="M16" s="184"/>
      <c r="N16" s="184"/>
      <c r="O16" s="184"/>
      <c r="P16" s="184"/>
      <c r="Q16" s="184"/>
      <c r="R16" s="184"/>
      <c r="S16" s="184"/>
    </row>
    <row r="17" spans="1:29">
      <c r="B17"/>
      <c r="C17"/>
      <c r="D17"/>
      <c r="E17"/>
      <c r="F17"/>
    </row>
    <row r="18" spans="1:29">
      <c r="A18" s="161" t="s">
        <v>0</v>
      </c>
      <c r="B18" s="169" t="s">
        <v>1</v>
      </c>
      <c r="C18" s="169"/>
      <c r="D18" s="169"/>
      <c r="E18" s="169"/>
      <c r="F18" s="169"/>
      <c r="G18" s="170" t="s">
        <v>2</v>
      </c>
      <c r="H18" s="169" t="s">
        <v>3</v>
      </c>
      <c r="I18" s="169"/>
      <c r="J18" s="169"/>
      <c r="K18" s="169"/>
      <c r="L18" s="169"/>
    </row>
    <row r="19" spans="1:29">
      <c r="A19" s="162"/>
      <c r="B19" s="20" t="s">
        <v>6</v>
      </c>
      <c r="C19" s="20" t="s">
        <v>7</v>
      </c>
      <c r="D19" s="20" t="s">
        <v>8</v>
      </c>
      <c r="E19" s="20" t="s">
        <v>9</v>
      </c>
      <c r="F19" s="169"/>
      <c r="G19" s="170"/>
      <c r="H19" s="20" t="s">
        <v>6</v>
      </c>
      <c r="I19" s="20" t="s">
        <v>7</v>
      </c>
      <c r="J19" s="20" t="s">
        <v>8</v>
      </c>
      <c r="K19" s="20" t="s">
        <v>9</v>
      </c>
      <c r="L19" s="169"/>
    </row>
    <row r="20" spans="1:29">
      <c r="A20" s="162"/>
      <c r="B20" s="20">
        <v>34</v>
      </c>
      <c r="C20" s="20">
        <v>1.94</v>
      </c>
      <c r="D20" s="110"/>
      <c r="E20" s="20">
        <f>C20*D20</f>
        <v>0</v>
      </c>
      <c r="F20" s="169"/>
      <c r="G20" s="170"/>
      <c r="H20" s="20">
        <f>B20</f>
        <v>34</v>
      </c>
      <c r="I20" s="20">
        <f>C20</f>
        <v>1.94</v>
      </c>
      <c r="J20" s="110">
        <v>23</v>
      </c>
      <c r="K20" s="20">
        <f>I20*J20</f>
        <v>44.62</v>
      </c>
      <c r="L20" s="169"/>
    </row>
    <row r="21" spans="1:29">
      <c r="A21" s="162"/>
      <c r="B21" s="20">
        <v>51</v>
      </c>
      <c r="C21" s="20">
        <v>2.5499999999999998</v>
      </c>
      <c r="D21" s="111"/>
      <c r="E21" s="20">
        <f t="shared" ref="E21:E30" si="8">C21*D21</f>
        <v>0</v>
      </c>
      <c r="F21" s="169"/>
      <c r="G21" s="170"/>
      <c r="H21" s="20">
        <f t="shared" ref="H21:H30" si="9">B21</f>
        <v>51</v>
      </c>
      <c r="I21" s="20">
        <f t="shared" ref="I21:I30" si="10">C21</f>
        <v>2.5499999999999998</v>
      </c>
      <c r="J21" s="110"/>
      <c r="K21" s="20">
        <f t="shared" ref="K21:K30" si="11">I21*J21</f>
        <v>0</v>
      </c>
      <c r="L21" s="169"/>
    </row>
    <row r="22" spans="1:29">
      <c r="A22" s="162"/>
      <c r="B22" s="20">
        <v>68</v>
      </c>
      <c r="C22" s="20">
        <v>3.55</v>
      </c>
      <c r="D22" s="111"/>
      <c r="E22" s="20">
        <f t="shared" si="8"/>
        <v>0</v>
      </c>
      <c r="F22" s="169"/>
      <c r="G22" s="170"/>
      <c r="H22" s="20">
        <f t="shared" si="9"/>
        <v>68</v>
      </c>
      <c r="I22" s="20">
        <f t="shared" si="10"/>
        <v>3.55</v>
      </c>
      <c r="J22" s="110"/>
      <c r="K22" s="20">
        <f t="shared" si="11"/>
        <v>0</v>
      </c>
      <c r="L22" s="169"/>
    </row>
    <row r="23" spans="1:29">
      <c r="A23" s="162"/>
      <c r="B23" s="20">
        <v>85</v>
      </c>
      <c r="C23" s="20">
        <v>4.0999999999999996</v>
      </c>
      <c r="D23" s="111"/>
      <c r="E23" s="20">
        <f t="shared" si="8"/>
        <v>0</v>
      </c>
      <c r="F23" s="169"/>
      <c r="G23" s="170"/>
      <c r="H23" s="20">
        <f t="shared" si="9"/>
        <v>85</v>
      </c>
      <c r="I23" s="20">
        <f t="shared" si="10"/>
        <v>4.0999999999999996</v>
      </c>
      <c r="J23" s="110"/>
      <c r="K23" s="20">
        <f t="shared" si="11"/>
        <v>0</v>
      </c>
      <c r="L23" s="169"/>
    </row>
    <row r="24" spans="1:29">
      <c r="A24" s="162"/>
      <c r="B24" s="20">
        <v>102</v>
      </c>
      <c r="C24" s="20">
        <v>5</v>
      </c>
      <c r="D24" s="111"/>
      <c r="E24" s="20">
        <f t="shared" si="8"/>
        <v>0</v>
      </c>
      <c r="F24" s="169"/>
      <c r="G24" s="170"/>
      <c r="H24" s="20">
        <f t="shared" si="9"/>
        <v>102</v>
      </c>
      <c r="I24" s="20">
        <f t="shared" si="10"/>
        <v>5</v>
      </c>
      <c r="J24" s="110"/>
      <c r="K24" s="20">
        <f t="shared" si="11"/>
        <v>0</v>
      </c>
      <c r="L24" s="169"/>
    </row>
    <row r="25" spans="1:29">
      <c r="A25" s="162"/>
      <c r="B25" s="20">
        <v>136</v>
      </c>
      <c r="C25" s="20">
        <v>7.12</v>
      </c>
      <c r="D25" s="111"/>
      <c r="E25" s="20">
        <f t="shared" si="8"/>
        <v>0</v>
      </c>
      <c r="F25" s="169"/>
      <c r="G25" s="170"/>
      <c r="H25" s="20">
        <f t="shared" si="9"/>
        <v>136</v>
      </c>
      <c r="I25" s="20">
        <f t="shared" si="10"/>
        <v>7.12</v>
      </c>
      <c r="J25" s="110"/>
      <c r="K25" s="20">
        <f t="shared" si="11"/>
        <v>0</v>
      </c>
      <c r="L25" s="169"/>
    </row>
    <row r="26" spans="1:29">
      <c r="A26" s="162"/>
      <c r="B26" s="20">
        <v>170</v>
      </c>
      <c r="C26" s="20">
        <v>8.65</v>
      </c>
      <c r="D26" s="111"/>
      <c r="E26" s="20">
        <f t="shared" si="8"/>
        <v>0</v>
      </c>
      <c r="F26" s="169"/>
      <c r="G26" s="170"/>
      <c r="H26" s="20">
        <f t="shared" si="9"/>
        <v>170</v>
      </c>
      <c r="I26" s="20">
        <f t="shared" si="10"/>
        <v>8.65</v>
      </c>
      <c r="J26" s="110"/>
      <c r="K26" s="20">
        <f t="shared" si="11"/>
        <v>0</v>
      </c>
      <c r="L26" s="169"/>
    </row>
    <row r="27" spans="1:29">
      <c r="A27" s="162"/>
      <c r="B27" s="20">
        <v>204</v>
      </c>
      <c r="C27" s="20">
        <v>9.58</v>
      </c>
      <c r="D27" s="111"/>
      <c r="E27" s="20">
        <f t="shared" si="8"/>
        <v>0</v>
      </c>
      <c r="F27" s="169"/>
      <c r="G27" s="170"/>
      <c r="H27" s="20">
        <f t="shared" si="9"/>
        <v>204</v>
      </c>
      <c r="I27" s="20">
        <f t="shared" si="10"/>
        <v>9.58</v>
      </c>
      <c r="J27" s="110"/>
      <c r="K27" s="20">
        <f t="shared" si="11"/>
        <v>0</v>
      </c>
      <c r="L27" s="169"/>
    </row>
    <row r="28" spans="1:29">
      <c r="A28" s="162"/>
      <c r="B28" s="20">
        <v>238</v>
      </c>
      <c r="C28" s="20">
        <v>10.75</v>
      </c>
      <c r="D28" s="111"/>
      <c r="E28" s="20">
        <f t="shared" si="8"/>
        <v>0</v>
      </c>
      <c r="F28" s="169"/>
      <c r="G28" s="170"/>
      <c r="H28" s="20">
        <f t="shared" si="9"/>
        <v>238</v>
      </c>
      <c r="I28" s="20">
        <f t="shared" si="10"/>
        <v>10.75</v>
      </c>
      <c r="J28" s="110"/>
      <c r="K28" s="20">
        <f t="shared" si="11"/>
        <v>0</v>
      </c>
      <c r="L28" s="169"/>
    </row>
    <row r="29" spans="1:29">
      <c r="A29" s="162"/>
      <c r="B29" s="20"/>
      <c r="C29" s="20"/>
      <c r="D29" s="111"/>
      <c r="E29" s="20">
        <f t="shared" si="8"/>
        <v>0</v>
      </c>
      <c r="F29" s="169"/>
      <c r="G29" s="170"/>
      <c r="H29" s="20">
        <f t="shared" si="9"/>
        <v>0</v>
      </c>
      <c r="I29" s="20">
        <f t="shared" si="10"/>
        <v>0</v>
      </c>
      <c r="J29" s="110"/>
      <c r="K29" s="20">
        <f t="shared" si="11"/>
        <v>0</v>
      </c>
      <c r="L29" s="169"/>
    </row>
    <row r="30" spans="1:29">
      <c r="A30" s="163"/>
      <c r="B30" s="89"/>
      <c r="C30" s="89"/>
      <c r="D30" s="112"/>
      <c r="E30" s="20">
        <f t="shared" si="8"/>
        <v>0</v>
      </c>
      <c r="F30" s="20" t="s">
        <v>28</v>
      </c>
      <c r="G30" s="170"/>
      <c r="H30" s="20">
        <f t="shared" si="9"/>
        <v>0</v>
      </c>
      <c r="I30" s="20">
        <f t="shared" si="10"/>
        <v>0</v>
      </c>
      <c r="J30" s="110"/>
      <c r="K30" s="20">
        <f t="shared" si="11"/>
        <v>0</v>
      </c>
      <c r="L30" s="20" t="s">
        <v>28</v>
      </c>
    </row>
    <row r="31" spans="1:29">
      <c r="A31" s="91" t="s">
        <v>30</v>
      </c>
      <c r="B31" s="176">
        <f>E31/0.172</f>
        <v>0</v>
      </c>
      <c r="C31" s="177"/>
      <c r="D31" s="113" t="s">
        <v>31</v>
      </c>
      <c r="E31" s="114">
        <f>SUM(E20:E30)*0.172</f>
        <v>0</v>
      </c>
      <c r="F31" s="95">
        <f>IF(E31&lt;=1,20,IF(E31&lt;=2,25,IF(E31&lt;=4,32,IF(E31&lt;=6,40,IF(E31&lt;=11,50,IF(E31&lt;=18,65,IF(E31&lt;=32,80,IF(E31&lt;=65,100,IF(E31&lt;=115,125,IF(E31&lt;=185,150,IF(E31&lt;=380,200,IF(E31&lt;=560,250,IF(E31&lt;=820,300)))))))))))))</f>
        <v>20</v>
      </c>
      <c r="G31" s="91" t="s">
        <v>30</v>
      </c>
      <c r="H31" s="176">
        <f>SUM(K20:K30)</f>
        <v>44.62</v>
      </c>
      <c r="I31" s="177"/>
      <c r="J31" s="182" t="s">
        <v>31</v>
      </c>
      <c r="K31" s="183"/>
      <c r="L31" s="140">
        <f>IF(H31&lt;=7.1,20,IF(H31&lt;=18,25,IF(H31&lt;=100,32,IF(H31&lt;=176,40,IF(H31&lt;=598,50,IF(H31&lt;=1055,80,IF(H31&lt;=1512,100,IF(H31&lt;=12462,125))))))))</f>
        <v>32</v>
      </c>
      <c r="T31" s="156" t="s">
        <v>816</v>
      </c>
      <c r="U31" s="11"/>
      <c r="V31" s="11"/>
      <c r="W31" s="11"/>
      <c r="X31" s="11"/>
      <c r="Y31" s="11"/>
      <c r="Z31" s="11"/>
      <c r="AA31" s="11"/>
      <c r="AB31" s="11"/>
      <c r="AC31" s="11"/>
    </row>
    <row r="32" spans="1:29">
      <c r="B32"/>
      <c r="C32"/>
      <c r="D32"/>
      <c r="E32"/>
      <c r="F32"/>
      <c r="Q32" s="179"/>
      <c r="R32" s="179"/>
      <c r="T32" s="11" t="s">
        <v>33</v>
      </c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B33"/>
      <c r="C33"/>
      <c r="D33"/>
      <c r="E33"/>
      <c r="F33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T34" s="11" t="s">
        <v>34</v>
      </c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20.25">
      <c r="A35" s="180" t="s">
        <v>35</v>
      </c>
      <c r="B35" s="180"/>
      <c r="C35" s="181"/>
      <c r="D35" s="180"/>
      <c r="E35" s="180"/>
      <c r="F35" s="180"/>
      <c r="G35" s="180"/>
      <c r="H35" s="180"/>
      <c r="I35" s="180"/>
      <c r="J35" s="180"/>
      <c r="K35" s="180"/>
      <c r="L35" s="180"/>
      <c r="M35" s="181"/>
      <c r="N35" s="180"/>
      <c r="O35" s="180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42.75">
      <c r="A36" s="115" t="s">
        <v>36</v>
      </c>
      <c r="B36" s="116" t="s">
        <v>37</v>
      </c>
      <c r="C36" s="117" t="s">
        <v>38</v>
      </c>
      <c r="D36" s="116">
        <v>2</v>
      </c>
      <c r="E36" s="116">
        <v>4</v>
      </c>
      <c r="F36" s="116">
        <v>5</v>
      </c>
      <c r="G36" s="116">
        <v>6</v>
      </c>
      <c r="H36" s="116">
        <v>7</v>
      </c>
      <c r="I36" s="116">
        <v>8</v>
      </c>
      <c r="J36" s="117" t="s">
        <v>39</v>
      </c>
      <c r="K36" s="117" t="s">
        <v>40</v>
      </c>
      <c r="L36" s="117" t="s">
        <v>41</v>
      </c>
      <c r="M36" s="117" t="s">
        <v>42</v>
      </c>
      <c r="N36" s="117" t="s">
        <v>43</v>
      </c>
      <c r="O36" s="117" t="s">
        <v>44</v>
      </c>
      <c r="T36" s="11" t="s">
        <v>45</v>
      </c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25">
      <c r="A37" s="118" t="s">
        <v>46</v>
      </c>
      <c r="B37" s="31" t="s">
        <v>47</v>
      </c>
      <c r="C37" s="171" t="s">
        <v>48</v>
      </c>
      <c r="D37" s="31">
        <v>19</v>
      </c>
      <c r="E37" s="31">
        <v>18</v>
      </c>
      <c r="F37" s="31">
        <v>17.5</v>
      </c>
      <c r="G37" s="31">
        <v>17</v>
      </c>
      <c r="H37" s="31">
        <v>16</v>
      </c>
      <c r="I37" s="31">
        <v>14</v>
      </c>
      <c r="J37" s="31">
        <v>25</v>
      </c>
      <c r="K37" s="31">
        <v>0.75</v>
      </c>
      <c r="L37" s="31">
        <v>2850</v>
      </c>
      <c r="M37" s="119" t="s">
        <v>49</v>
      </c>
      <c r="N37" s="31">
        <v>31</v>
      </c>
      <c r="O37" s="34">
        <v>2550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25">
      <c r="A38" s="118" t="s">
        <v>50</v>
      </c>
      <c r="B38" s="31" t="s">
        <v>51</v>
      </c>
      <c r="C38" s="171"/>
      <c r="D38" s="31">
        <v>22</v>
      </c>
      <c r="E38" s="31">
        <v>21</v>
      </c>
      <c r="F38" s="31">
        <v>20.5</v>
      </c>
      <c r="G38" s="31">
        <v>20</v>
      </c>
      <c r="H38" s="31">
        <v>19</v>
      </c>
      <c r="I38" s="31">
        <v>16</v>
      </c>
      <c r="J38" s="31">
        <v>25</v>
      </c>
      <c r="K38" s="31">
        <v>0.75</v>
      </c>
      <c r="L38" s="31">
        <v>2850</v>
      </c>
      <c r="M38" s="119" t="s">
        <v>49</v>
      </c>
      <c r="N38" s="31">
        <v>33</v>
      </c>
      <c r="O38" s="34">
        <v>2550</v>
      </c>
      <c r="T38" s="11" t="s">
        <v>52</v>
      </c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25">
      <c r="A39" s="118" t="s">
        <v>53</v>
      </c>
      <c r="B39" s="31" t="s">
        <v>54</v>
      </c>
      <c r="C39" s="171"/>
      <c r="D39" s="31">
        <v>24</v>
      </c>
      <c r="E39" s="31">
        <v>23.5</v>
      </c>
      <c r="F39" s="31">
        <v>23</v>
      </c>
      <c r="G39" s="31">
        <v>22.5</v>
      </c>
      <c r="H39" s="31">
        <v>21</v>
      </c>
      <c r="I39" s="31">
        <v>18</v>
      </c>
      <c r="J39" s="31">
        <v>25</v>
      </c>
      <c r="K39" s="31">
        <v>0.75</v>
      </c>
      <c r="L39" s="31">
        <v>2850</v>
      </c>
      <c r="M39" s="119" t="s">
        <v>49</v>
      </c>
      <c r="N39" s="31">
        <v>36</v>
      </c>
      <c r="O39" s="34">
        <v>2686</v>
      </c>
      <c r="T39" s="11" t="s">
        <v>55</v>
      </c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25">
      <c r="A40" s="120" t="s">
        <v>56</v>
      </c>
      <c r="B40" s="121" t="s">
        <v>57</v>
      </c>
      <c r="C40" s="172"/>
      <c r="D40" s="121">
        <v>29</v>
      </c>
      <c r="E40" s="121">
        <v>28.5</v>
      </c>
      <c r="F40" s="121">
        <v>28</v>
      </c>
      <c r="G40" s="121">
        <v>27</v>
      </c>
      <c r="H40" s="121">
        <v>25.5</v>
      </c>
      <c r="I40" s="121">
        <v>22</v>
      </c>
      <c r="J40" s="121">
        <v>25</v>
      </c>
      <c r="K40" s="121">
        <v>1.1000000000000001</v>
      </c>
      <c r="L40" s="121">
        <v>2850</v>
      </c>
      <c r="M40" s="122" t="s">
        <v>58</v>
      </c>
      <c r="N40" s="121">
        <v>34</v>
      </c>
      <c r="O40" s="141">
        <v>2839</v>
      </c>
      <c r="T40" s="11" t="s">
        <v>59</v>
      </c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25">
      <c r="A41" s="123"/>
      <c r="B41" s="123"/>
      <c r="C41" s="124"/>
      <c r="D41" s="123"/>
      <c r="E41" s="123"/>
      <c r="F41" s="123"/>
      <c r="G41" s="123"/>
      <c r="H41" s="123"/>
      <c r="I41" s="123"/>
      <c r="J41" s="123"/>
      <c r="K41" s="123"/>
      <c r="L41" s="123"/>
      <c r="M41" s="124"/>
      <c r="N41" s="123"/>
      <c r="O41" s="142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42.75">
      <c r="A42" s="125" t="s">
        <v>36</v>
      </c>
      <c r="B42" s="126" t="s">
        <v>37</v>
      </c>
      <c r="C42" s="127" t="s">
        <v>38</v>
      </c>
      <c r="D42" s="126">
        <v>2</v>
      </c>
      <c r="E42" s="126">
        <v>4</v>
      </c>
      <c r="F42" s="126">
        <v>5</v>
      </c>
      <c r="G42" s="126">
        <v>6</v>
      </c>
      <c r="H42" s="126">
        <v>7</v>
      </c>
      <c r="I42" s="126">
        <v>8</v>
      </c>
      <c r="J42" s="127" t="s">
        <v>39</v>
      </c>
      <c r="K42" s="127" t="s">
        <v>40</v>
      </c>
      <c r="L42" s="127" t="s">
        <v>41</v>
      </c>
      <c r="M42" s="127" t="s">
        <v>42</v>
      </c>
      <c r="N42" s="127" t="s">
        <v>43</v>
      </c>
      <c r="O42" s="117" t="s">
        <v>44</v>
      </c>
    </row>
    <row r="43" spans="1:29" ht="14.25">
      <c r="A43" s="128" t="s">
        <v>60</v>
      </c>
      <c r="B43" s="129" t="s">
        <v>61</v>
      </c>
      <c r="C43" s="173" t="s">
        <v>48</v>
      </c>
      <c r="D43" s="129">
        <v>35</v>
      </c>
      <c r="E43" s="129">
        <v>34.5</v>
      </c>
      <c r="F43" s="129">
        <v>34</v>
      </c>
      <c r="G43" s="129">
        <v>33</v>
      </c>
      <c r="H43" s="129">
        <v>31</v>
      </c>
      <c r="I43" s="129">
        <v>27</v>
      </c>
      <c r="J43" s="129">
        <v>25</v>
      </c>
      <c r="K43" s="129">
        <v>1.5</v>
      </c>
      <c r="L43" s="129">
        <v>2870</v>
      </c>
      <c r="M43" s="130" t="s">
        <v>62</v>
      </c>
      <c r="N43" s="129">
        <v>36</v>
      </c>
      <c r="O43" s="34">
        <v>3043</v>
      </c>
    </row>
    <row r="44" spans="1:29" ht="14.25">
      <c r="A44" s="128" t="s">
        <v>63</v>
      </c>
      <c r="B44" s="129" t="s">
        <v>64</v>
      </c>
      <c r="C44" s="173"/>
      <c r="D44" s="129">
        <v>37</v>
      </c>
      <c r="E44" s="129">
        <v>36.5</v>
      </c>
      <c r="F44" s="129">
        <v>36</v>
      </c>
      <c r="G44" s="129">
        <v>35.5</v>
      </c>
      <c r="H44" s="129">
        <v>33</v>
      </c>
      <c r="I44" s="129">
        <v>28</v>
      </c>
      <c r="J44" s="129">
        <v>25</v>
      </c>
      <c r="K44" s="129">
        <v>1.5</v>
      </c>
      <c r="L44" s="129">
        <v>2870</v>
      </c>
      <c r="M44" s="130" t="s">
        <v>62</v>
      </c>
      <c r="N44" s="129">
        <v>48</v>
      </c>
      <c r="O44" s="34">
        <v>3281</v>
      </c>
    </row>
    <row r="45" spans="1:29" ht="14.25">
      <c r="A45" s="128" t="s">
        <v>65</v>
      </c>
      <c r="B45" s="129" t="s">
        <v>66</v>
      </c>
      <c r="C45" s="173"/>
      <c r="D45" s="129">
        <v>41.5</v>
      </c>
      <c r="E45" s="129">
        <v>41</v>
      </c>
      <c r="F45" s="129">
        <v>40.5</v>
      </c>
      <c r="G45" s="129">
        <v>40</v>
      </c>
      <c r="H45" s="129">
        <v>37</v>
      </c>
      <c r="I45" s="129">
        <v>32</v>
      </c>
      <c r="J45" s="129">
        <v>25</v>
      </c>
      <c r="K45" s="129">
        <v>2.2000000000000002</v>
      </c>
      <c r="L45" s="129">
        <v>2860</v>
      </c>
      <c r="M45" s="130" t="s">
        <v>67</v>
      </c>
      <c r="N45" s="129">
        <v>49</v>
      </c>
      <c r="O45" s="34">
        <v>3366</v>
      </c>
    </row>
    <row r="46" spans="1:29" ht="14.25">
      <c r="A46" s="131" t="s">
        <v>68</v>
      </c>
      <c r="B46" s="132" t="s">
        <v>69</v>
      </c>
      <c r="C46" s="174"/>
      <c r="D46" s="132">
        <v>53.5</v>
      </c>
      <c r="E46" s="132">
        <v>53</v>
      </c>
      <c r="F46" s="132">
        <v>52</v>
      </c>
      <c r="G46" s="132">
        <v>51</v>
      </c>
      <c r="H46" s="132">
        <v>48</v>
      </c>
      <c r="I46" s="132">
        <v>41</v>
      </c>
      <c r="J46" s="132">
        <v>25</v>
      </c>
      <c r="K46" s="132">
        <v>3</v>
      </c>
      <c r="L46" s="132">
        <v>2880</v>
      </c>
      <c r="M46" s="133" t="s">
        <v>70</v>
      </c>
      <c r="N46" s="132">
        <v>50</v>
      </c>
      <c r="O46" s="141">
        <v>4267</v>
      </c>
    </row>
    <row r="47" spans="1:29" ht="14.25">
      <c r="A47" s="123"/>
      <c r="B47" s="123"/>
      <c r="C47" s="124"/>
      <c r="D47" s="123"/>
      <c r="E47" s="123"/>
      <c r="F47" s="123"/>
      <c r="G47" s="123"/>
      <c r="H47" s="123"/>
      <c r="I47" s="123"/>
      <c r="J47" s="123"/>
      <c r="K47" s="123"/>
      <c r="L47" s="123"/>
      <c r="M47" s="124"/>
      <c r="N47" s="123"/>
      <c r="O47" s="142"/>
    </row>
    <row r="48" spans="1:29" ht="42.75">
      <c r="A48" s="115" t="s">
        <v>36</v>
      </c>
      <c r="B48" s="134" t="s">
        <v>37</v>
      </c>
      <c r="C48" s="117" t="s">
        <v>38</v>
      </c>
      <c r="D48" s="116">
        <v>4</v>
      </c>
      <c r="E48" s="116">
        <v>6</v>
      </c>
      <c r="F48" s="116">
        <v>8</v>
      </c>
      <c r="G48" s="116">
        <v>10</v>
      </c>
      <c r="H48" s="116">
        <v>12</v>
      </c>
      <c r="I48" s="116">
        <v>14</v>
      </c>
      <c r="J48" s="117" t="s">
        <v>39</v>
      </c>
      <c r="K48" s="117" t="s">
        <v>40</v>
      </c>
      <c r="L48" s="117" t="s">
        <v>41</v>
      </c>
      <c r="M48" s="117" t="s">
        <v>42</v>
      </c>
      <c r="N48" s="117" t="s">
        <v>43</v>
      </c>
      <c r="O48" s="117" t="s">
        <v>44</v>
      </c>
    </row>
    <row r="49" spans="1:15" ht="14.25">
      <c r="A49" s="118" t="s">
        <v>71</v>
      </c>
      <c r="B49" s="39" t="s">
        <v>72</v>
      </c>
      <c r="C49" s="171" t="s">
        <v>48</v>
      </c>
      <c r="D49" s="31">
        <v>18</v>
      </c>
      <c r="E49" s="31">
        <v>17</v>
      </c>
      <c r="F49" s="31">
        <v>16.5</v>
      </c>
      <c r="G49" s="31">
        <v>16</v>
      </c>
      <c r="H49" s="31">
        <v>15</v>
      </c>
      <c r="I49" s="31">
        <v>11</v>
      </c>
      <c r="J49" s="31">
        <v>40</v>
      </c>
      <c r="K49" s="31">
        <v>0.75</v>
      </c>
      <c r="L49" s="31">
        <v>2850</v>
      </c>
      <c r="M49" s="119" t="s">
        <v>49</v>
      </c>
      <c r="N49" s="31">
        <v>48</v>
      </c>
      <c r="O49" s="34">
        <v>2652</v>
      </c>
    </row>
    <row r="50" spans="1:15" ht="14.25">
      <c r="A50" s="118" t="s">
        <v>73</v>
      </c>
      <c r="B50" s="39" t="s">
        <v>74</v>
      </c>
      <c r="C50" s="171"/>
      <c r="D50" s="31">
        <v>20</v>
      </c>
      <c r="E50" s="31">
        <v>19.5</v>
      </c>
      <c r="F50" s="31">
        <v>19</v>
      </c>
      <c r="G50" s="31">
        <v>18</v>
      </c>
      <c r="H50" s="31">
        <v>17</v>
      </c>
      <c r="I50" s="31">
        <v>12</v>
      </c>
      <c r="J50" s="31">
        <v>40</v>
      </c>
      <c r="K50" s="31">
        <v>1.1000000000000001</v>
      </c>
      <c r="L50" s="31">
        <v>2850</v>
      </c>
      <c r="M50" s="119" t="s">
        <v>58</v>
      </c>
      <c r="N50" s="31">
        <v>42</v>
      </c>
      <c r="O50" s="34">
        <v>2805</v>
      </c>
    </row>
    <row r="51" spans="1:15" ht="14.25">
      <c r="A51" s="118" t="s">
        <v>75</v>
      </c>
      <c r="B51" s="39" t="s">
        <v>76</v>
      </c>
      <c r="C51" s="171"/>
      <c r="D51" s="31">
        <v>26</v>
      </c>
      <c r="E51" s="31">
        <v>25</v>
      </c>
      <c r="F51" s="31">
        <v>24</v>
      </c>
      <c r="G51" s="31">
        <v>22</v>
      </c>
      <c r="H51" s="31">
        <v>18</v>
      </c>
      <c r="I51" s="31">
        <v>13</v>
      </c>
      <c r="J51" s="31">
        <v>40</v>
      </c>
      <c r="K51" s="31">
        <v>1.1000000000000001</v>
      </c>
      <c r="L51" s="31">
        <v>2850</v>
      </c>
      <c r="M51" s="119" t="s">
        <v>58</v>
      </c>
      <c r="N51" s="31">
        <v>44</v>
      </c>
      <c r="O51" s="34">
        <v>2924</v>
      </c>
    </row>
    <row r="52" spans="1:15" ht="14.25">
      <c r="A52" s="120" t="s">
        <v>77</v>
      </c>
      <c r="B52" s="135" t="s">
        <v>78</v>
      </c>
      <c r="C52" s="172"/>
      <c r="D52" s="121">
        <v>28</v>
      </c>
      <c r="E52" s="121">
        <v>27</v>
      </c>
      <c r="F52" s="121">
        <v>26</v>
      </c>
      <c r="G52" s="121">
        <v>25</v>
      </c>
      <c r="H52" s="121">
        <v>22</v>
      </c>
      <c r="I52" s="121">
        <v>18</v>
      </c>
      <c r="J52" s="121">
        <v>40</v>
      </c>
      <c r="K52" s="121">
        <v>1.5</v>
      </c>
      <c r="L52" s="121">
        <v>2870</v>
      </c>
      <c r="M52" s="122" t="s">
        <v>62</v>
      </c>
      <c r="N52" s="121">
        <v>42</v>
      </c>
      <c r="O52" s="141">
        <v>3128</v>
      </c>
    </row>
    <row r="53" spans="1:15" ht="14.25">
      <c r="A53" s="123"/>
      <c r="B53" s="123"/>
      <c r="C53" s="124"/>
      <c r="D53" s="123"/>
      <c r="E53" s="123"/>
      <c r="F53" s="123"/>
      <c r="G53" s="123"/>
      <c r="H53" s="123"/>
      <c r="I53" s="123"/>
      <c r="J53" s="123"/>
      <c r="K53" s="123"/>
      <c r="L53" s="123"/>
      <c r="M53" s="124"/>
      <c r="N53" s="123"/>
      <c r="O53" s="1"/>
    </row>
    <row r="54" spans="1:15" ht="42.75">
      <c r="A54" s="115" t="s">
        <v>36</v>
      </c>
      <c r="B54" s="116" t="s">
        <v>37</v>
      </c>
      <c r="C54" s="117" t="s">
        <v>38</v>
      </c>
      <c r="D54" s="116">
        <v>4</v>
      </c>
      <c r="E54" s="116">
        <v>6</v>
      </c>
      <c r="F54" s="116">
        <v>8</v>
      </c>
      <c r="G54" s="116">
        <v>10</v>
      </c>
      <c r="H54" s="116">
        <v>12</v>
      </c>
      <c r="I54" s="116">
        <v>14</v>
      </c>
      <c r="J54" s="117" t="s">
        <v>39</v>
      </c>
      <c r="K54" s="117" t="s">
        <v>40</v>
      </c>
      <c r="L54" s="117" t="s">
        <v>41</v>
      </c>
      <c r="M54" s="117" t="s">
        <v>42</v>
      </c>
      <c r="N54" s="117" t="s">
        <v>43</v>
      </c>
      <c r="O54" s="117" t="s">
        <v>44</v>
      </c>
    </row>
    <row r="55" spans="1:15" ht="14.25">
      <c r="A55" s="118" t="s">
        <v>79</v>
      </c>
      <c r="B55" s="31" t="s">
        <v>80</v>
      </c>
      <c r="C55" s="171" t="s">
        <v>48</v>
      </c>
      <c r="D55" s="31">
        <v>35</v>
      </c>
      <c r="E55" s="31">
        <v>34</v>
      </c>
      <c r="F55" s="31">
        <v>32</v>
      </c>
      <c r="G55" s="31">
        <v>30</v>
      </c>
      <c r="H55" s="31">
        <v>26</v>
      </c>
      <c r="I55" s="31">
        <v>20</v>
      </c>
      <c r="J55" s="31">
        <v>40</v>
      </c>
      <c r="K55" s="31">
        <v>2.2000000000000002</v>
      </c>
      <c r="L55" s="31">
        <v>2860</v>
      </c>
      <c r="M55" s="119" t="s">
        <v>67</v>
      </c>
      <c r="N55" s="31">
        <v>41</v>
      </c>
      <c r="O55" s="34">
        <v>3213</v>
      </c>
    </row>
    <row r="56" spans="1:15" ht="14.25">
      <c r="A56" s="118" t="s">
        <v>81</v>
      </c>
      <c r="B56" s="31" t="s">
        <v>82</v>
      </c>
      <c r="C56" s="171"/>
      <c r="D56" s="31">
        <v>39</v>
      </c>
      <c r="E56" s="31">
        <v>38</v>
      </c>
      <c r="F56" s="31">
        <v>37</v>
      </c>
      <c r="G56" s="31">
        <v>36</v>
      </c>
      <c r="H56" s="31">
        <v>35</v>
      </c>
      <c r="I56" s="31">
        <v>32</v>
      </c>
      <c r="J56" s="31">
        <v>40</v>
      </c>
      <c r="K56" s="31">
        <v>2.2000000000000002</v>
      </c>
      <c r="L56" s="31">
        <v>2860</v>
      </c>
      <c r="M56" s="119" t="s">
        <v>67</v>
      </c>
      <c r="N56" s="31">
        <v>36</v>
      </c>
      <c r="O56" s="34">
        <v>3485</v>
      </c>
    </row>
    <row r="57" spans="1:15" ht="14.25">
      <c r="A57" s="118" t="s">
        <v>83</v>
      </c>
      <c r="B57" s="31" t="s">
        <v>84</v>
      </c>
      <c r="C57" s="171"/>
      <c r="D57" s="31">
        <v>45</v>
      </c>
      <c r="E57" s="31">
        <v>44</v>
      </c>
      <c r="F57" s="31">
        <v>43</v>
      </c>
      <c r="G57" s="31">
        <v>42</v>
      </c>
      <c r="H57" s="31">
        <v>40</v>
      </c>
      <c r="I57" s="31">
        <v>37</v>
      </c>
      <c r="J57" s="31">
        <v>40</v>
      </c>
      <c r="K57" s="31">
        <v>3</v>
      </c>
      <c r="L57" s="31">
        <v>2880</v>
      </c>
      <c r="M57" s="119" t="s">
        <v>70</v>
      </c>
      <c r="N57" s="31">
        <v>38</v>
      </c>
      <c r="O57" s="34">
        <v>4420</v>
      </c>
    </row>
    <row r="58" spans="1:15" ht="14.25">
      <c r="A58" s="120" t="s">
        <v>85</v>
      </c>
      <c r="B58" s="121" t="s">
        <v>86</v>
      </c>
      <c r="C58" s="172"/>
      <c r="D58" s="121">
        <v>52.5</v>
      </c>
      <c r="E58" s="121">
        <v>52</v>
      </c>
      <c r="F58" s="121">
        <v>51</v>
      </c>
      <c r="G58" s="121">
        <v>50</v>
      </c>
      <c r="H58" s="121">
        <v>49</v>
      </c>
      <c r="I58" s="121">
        <v>45</v>
      </c>
      <c r="J58" s="121">
        <v>40</v>
      </c>
      <c r="K58" s="121">
        <v>4</v>
      </c>
      <c r="L58" s="121">
        <v>2910</v>
      </c>
      <c r="M58" s="122" t="s">
        <v>87</v>
      </c>
      <c r="N58" s="121">
        <v>42</v>
      </c>
      <c r="O58" s="141">
        <v>5066</v>
      </c>
    </row>
    <row r="59" spans="1:15" ht="14.25">
      <c r="A59" s="123"/>
      <c r="B59" s="123"/>
      <c r="C59" s="124"/>
      <c r="D59" s="123"/>
      <c r="E59" s="123"/>
      <c r="F59" s="123"/>
      <c r="G59" s="123"/>
      <c r="H59" s="123"/>
      <c r="I59" s="123"/>
      <c r="J59" s="123"/>
      <c r="K59" s="123"/>
      <c r="L59" s="123"/>
      <c r="M59" s="124"/>
      <c r="N59" s="123"/>
      <c r="O59" s="142"/>
    </row>
    <row r="60" spans="1:15" ht="42.75">
      <c r="A60" s="115" t="s">
        <v>36</v>
      </c>
      <c r="B60" s="116" t="s">
        <v>37</v>
      </c>
      <c r="C60" s="117" t="s">
        <v>38</v>
      </c>
      <c r="D60" s="116">
        <v>8</v>
      </c>
      <c r="E60" s="116">
        <v>10</v>
      </c>
      <c r="F60" s="116">
        <v>12</v>
      </c>
      <c r="G60" s="116">
        <v>14</v>
      </c>
      <c r="H60" s="116">
        <v>16</v>
      </c>
      <c r="I60" s="116">
        <v>18</v>
      </c>
      <c r="J60" s="117" t="s">
        <v>39</v>
      </c>
      <c r="K60" s="117" t="s">
        <v>40</v>
      </c>
      <c r="L60" s="117" t="s">
        <v>41</v>
      </c>
      <c r="M60" s="117" t="s">
        <v>42</v>
      </c>
      <c r="N60" s="117" t="s">
        <v>43</v>
      </c>
      <c r="O60" s="117" t="s">
        <v>44</v>
      </c>
    </row>
    <row r="61" spans="1:15" ht="14.25">
      <c r="A61" s="118" t="s">
        <v>88</v>
      </c>
      <c r="B61" s="31" t="s">
        <v>89</v>
      </c>
      <c r="C61" s="171" t="s">
        <v>48</v>
      </c>
      <c r="D61" s="31">
        <v>19</v>
      </c>
      <c r="E61" s="31">
        <v>18</v>
      </c>
      <c r="F61" s="31">
        <v>17</v>
      </c>
      <c r="G61" s="31">
        <v>16.5</v>
      </c>
      <c r="H61" s="31">
        <v>15</v>
      </c>
      <c r="I61" s="31">
        <v>13</v>
      </c>
      <c r="J61" s="31">
        <v>50</v>
      </c>
      <c r="K61" s="31">
        <v>1.1000000000000001</v>
      </c>
      <c r="L61" s="31">
        <v>2850</v>
      </c>
      <c r="M61" s="119" t="s">
        <v>58</v>
      </c>
      <c r="N61" s="31">
        <v>60</v>
      </c>
      <c r="O61" s="34">
        <v>2941</v>
      </c>
    </row>
    <row r="62" spans="1:15" ht="14.25">
      <c r="A62" s="118" t="s">
        <v>90</v>
      </c>
      <c r="B62" s="31" t="s">
        <v>91</v>
      </c>
      <c r="C62" s="171"/>
      <c r="D62" s="31">
        <v>22</v>
      </c>
      <c r="E62" s="31">
        <v>21</v>
      </c>
      <c r="F62" s="31">
        <v>20</v>
      </c>
      <c r="G62" s="31">
        <v>19</v>
      </c>
      <c r="H62" s="31">
        <v>18</v>
      </c>
      <c r="I62" s="31">
        <v>16</v>
      </c>
      <c r="J62" s="31">
        <v>50</v>
      </c>
      <c r="K62" s="31">
        <v>1.5</v>
      </c>
      <c r="L62" s="31">
        <v>2870</v>
      </c>
      <c r="M62" s="119" t="s">
        <v>67</v>
      </c>
      <c r="N62" s="31">
        <v>57</v>
      </c>
      <c r="O62" s="34">
        <v>3145</v>
      </c>
    </row>
    <row r="63" spans="1:15" ht="42.75">
      <c r="A63" s="136" t="s">
        <v>36</v>
      </c>
      <c r="B63" s="137" t="s">
        <v>37</v>
      </c>
      <c r="C63" s="138" t="s">
        <v>38</v>
      </c>
      <c r="D63" s="137">
        <v>5</v>
      </c>
      <c r="E63" s="137">
        <v>10</v>
      </c>
      <c r="F63" s="137">
        <v>15</v>
      </c>
      <c r="G63" s="137">
        <v>20</v>
      </c>
      <c r="H63" s="137">
        <v>25</v>
      </c>
      <c r="I63" s="137">
        <v>30</v>
      </c>
      <c r="J63" s="138" t="s">
        <v>39</v>
      </c>
      <c r="K63" s="138" t="s">
        <v>40</v>
      </c>
      <c r="L63" s="138" t="s">
        <v>41</v>
      </c>
      <c r="M63" s="138" t="s">
        <v>42</v>
      </c>
      <c r="N63" s="138" t="s">
        <v>43</v>
      </c>
      <c r="O63" s="143" t="s">
        <v>44</v>
      </c>
    </row>
    <row r="64" spans="1:15" ht="14.25">
      <c r="A64" s="118" t="s">
        <v>92</v>
      </c>
      <c r="B64" s="129" t="s">
        <v>93</v>
      </c>
      <c r="C64" s="173" t="s">
        <v>48</v>
      </c>
      <c r="D64" s="129">
        <v>30</v>
      </c>
      <c r="E64" s="129">
        <v>29</v>
      </c>
      <c r="F64" s="129">
        <v>28</v>
      </c>
      <c r="G64" s="129">
        <v>27</v>
      </c>
      <c r="H64" s="129">
        <v>24</v>
      </c>
      <c r="I64" s="129">
        <v>17</v>
      </c>
      <c r="J64" s="129">
        <v>50</v>
      </c>
      <c r="K64" s="129">
        <v>2.2000000000000002</v>
      </c>
      <c r="L64" s="129">
        <v>2860</v>
      </c>
      <c r="M64" s="130" t="s">
        <v>67</v>
      </c>
      <c r="N64" s="31">
        <v>56</v>
      </c>
      <c r="O64" s="34">
        <v>3536</v>
      </c>
    </row>
    <row r="65" spans="1:15" ht="14.25">
      <c r="A65" s="120" t="s">
        <v>94</v>
      </c>
      <c r="B65" s="121" t="s">
        <v>95</v>
      </c>
      <c r="C65" s="174"/>
      <c r="D65" s="121">
        <v>34</v>
      </c>
      <c r="E65" s="121">
        <v>33</v>
      </c>
      <c r="F65" s="121">
        <v>32.5</v>
      </c>
      <c r="G65" s="121">
        <v>32</v>
      </c>
      <c r="H65" s="121">
        <v>30</v>
      </c>
      <c r="I65" s="121">
        <v>23</v>
      </c>
      <c r="J65" s="121">
        <v>50</v>
      </c>
      <c r="K65" s="121">
        <v>3</v>
      </c>
      <c r="L65" s="121">
        <v>2880</v>
      </c>
      <c r="M65" s="122" t="s">
        <v>70</v>
      </c>
      <c r="N65" s="121">
        <v>57</v>
      </c>
      <c r="O65" s="121">
        <v>4505</v>
      </c>
    </row>
    <row r="66" spans="1:15" ht="14.25">
      <c r="A66" s="123"/>
      <c r="B66" s="123"/>
      <c r="C66" s="124"/>
      <c r="D66" s="123"/>
      <c r="E66" s="123"/>
      <c r="F66" s="123"/>
      <c r="G66" s="123"/>
      <c r="H66" s="123"/>
      <c r="I66" s="123"/>
      <c r="J66" s="123"/>
      <c r="K66" s="123"/>
      <c r="L66" s="123"/>
      <c r="M66" s="124"/>
      <c r="N66" s="123"/>
      <c r="O66" s="142"/>
    </row>
    <row r="67" spans="1:15" ht="42.75">
      <c r="A67" s="115" t="s">
        <v>36</v>
      </c>
      <c r="B67" s="116" t="s">
        <v>37</v>
      </c>
      <c r="C67" s="117" t="s">
        <v>38</v>
      </c>
      <c r="D67" s="116">
        <v>10</v>
      </c>
      <c r="E67" s="116">
        <v>15</v>
      </c>
      <c r="F67" s="116">
        <v>20</v>
      </c>
      <c r="G67" s="116">
        <v>25</v>
      </c>
      <c r="H67" s="116">
        <v>30</v>
      </c>
      <c r="I67" s="116">
        <v>35</v>
      </c>
      <c r="J67" s="117" t="s">
        <v>39</v>
      </c>
      <c r="K67" s="117" t="s">
        <v>40</v>
      </c>
      <c r="L67" s="117" t="s">
        <v>41</v>
      </c>
      <c r="M67" s="117" t="s">
        <v>42</v>
      </c>
      <c r="N67" s="117" t="s">
        <v>43</v>
      </c>
      <c r="O67" s="117" t="s">
        <v>44</v>
      </c>
    </row>
    <row r="68" spans="1:15" ht="14.25">
      <c r="A68" s="118" t="s">
        <v>96</v>
      </c>
      <c r="B68" s="31" t="s">
        <v>97</v>
      </c>
      <c r="C68" s="171" t="s">
        <v>48</v>
      </c>
      <c r="D68" s="31">
        <v>38</v>
      </c>
      <c r="E68" s="31">
        <v>37</v>
      </c>
      <c r="F68" s="31">
        <v>36</v>
      </c>
      <c r="G68" s="31">
        <v>35</v>
      </c>
      <c r="H68" s="31">
        <v>30</v>
      </c>
      <c r="I68" s="31">
        <v>27</v>
      </c>
      <c r="J68" s="31">
        <v>50</v>
      </c>
      <c r="K68" s="31">
        <v>4</v>
      </c>
      <c r="L68" s="31">
        <v>2910</v>
      </c>
      <c r="M68" s="119" t="s">
        <v>87</v>
      </c>
      <c r="N68" s="31">
        <v>56</v>
      </c>
      <c r="O68" s="34">
        <v>5151</v>
      </c>
    </row>
    <row r="69" spans="1:15" ht="14.25">
      <c r="A69" s="118" t="s">
        <v>98</v>
      </c>
      <c r="B69" s="31" t="s">
        <v>99</v>
      </c>
      <c r="C69" s="171"/>
      <c r="D69" s="31">
        <v>45</v>
      </c>
      <c r="E69" s="31">
        <v>44</v>
      </c>
      <c r="F69" s="31">
        <v>43</v>
      </c>
      <c r="G69" s="31">
        <v>42</v>
      </c>
      <c r="H69" s="31">
        <v>40</v>
      </c>
      <c r="I69" s="31">
        <v>36</v>
      </c>
      <c r="J69" s="31">
        <v>50</v>
      </c>
      <c r="K69" s="31">
        <v>5.5</v>
      </c>
      <c r="L69" s="31">
        <v>2920</v>
      </c>
      <c r="M69" s="119" t="s">
        <v>100</v>
      </c>
      <c r="N69" s="31">
        <v>57</v>
      </c>
      <c r="O69" s="34">
        <v>7480</v>
      </c>
    </row>
    <row r="70" spans="1:15" ht="14.25">
      <c r="A70" s="118" t="s">
        <v>101</v>
      </c>
      <c r="B70" s="31" t="s">
        <v>102</v>
      </c>
      <c r="C70" s="171"/>
      <c r="D70" s="31">
        <v>51</v>
      </c>
      <c r="E70" s="31">
        <v>50</v>
      </c>
      <c r="F70" s="31">
        <v>49</v>
      </c>
      <c r="G70" s="31">
        <v>47</v>
      </c>
      <c r="H70" s="31">
        <v>45</v>
      </c>
      <c r="I70" s="31">
        <v>40</v>
      </c>
      <c r="J70" s="31">
        <v>50</v>
      </c>
      <c r="K70" s="31">
        <v>7.5</v>
      </c>
      <c r="L70" s="31">
        <v>2920</v>
      </c>
      <c r="M70" s="119" t="s">
        <v>103</v>
      </c>
      <c r="N70" s="31">
        <v>46</v>
      </c>
      <c r="O70" s="34">
        <v>8619</v>
      </c>
    </row>
    <row r="71" spans="1:15" ht="14.25">
      <c r="A71" s="120" t="s">
        <v>104</v>
      </c>
      <c r="B71" s="121" t="s">
        <v>105</v>
      </c>
      <c r="C71" s="172"/>
      <c r="D71" s="121">
        <v>67</v>
      </c>
      <c r="E71" s="121">
        <v>66</v>
      </c>
      <c r="F71" s="121">
        <v>65</v>
      </c>
      <c r="G71" s="121">
        <v>63</v>
      </c>
      <c r="H71" s="121">
        <v>60</v>
      </c>
      <c r="I71" s="121">
        <v>54</v>
      </c>
      <c r="J71" s="121">
        <v>50</v>
      </c>
      <c r="K71" s="121">
        <v>11</v>
      </c>
      <c r="L71" s="121">
        <v>2940</v>
      </c>
      <c r="M71" s="122" t="s">
        <v>106</v>
      </c>
      <c r="N71" s="121">
        <v>47</v>
      </c>
      <c r="O71" s="141">
        <v>12121</v>
      </c>
    </row>
    <row r="72" spans="1:15" ht="14.25">
      <c r="A72" s="123"/>
      <c r="B72" s="123"/>
      <c r="C72" s="124"/>
      <c r="D72" s="123"/>
      <c r="E72" s="123"/>
      <c r="F72" s="123"/>
      <c r="G72" s="123"/>
      <c r="H72" s="123"/>
      <c r="I72" s="123"/>
      <c r="J72" s="123"/>
      <c r="K72" s="123"/>
      <c r="L72" s="123"/>
      <c r="M72" s="124"/>
      <c r="N72" s="123"/>
      <c r="O72" s="1"/>
    </row>
    <row r="73" spans="1:15" ht="42.75">
      <c r="A73" s="115" t="s">
        <v>36</v>
      </c>
      <c r="B73" s="116" t="s">
        <v>37</v>
      </c>
      <c r="C73" s="117" t="s">
        <v>38</v>
      </c>
      <c r="D73" s="116">
        <v>5</v>
      </c>
      <c r="E73" s="116">
        <v>10</v>
      </c>
      <c r="F73" s="116">
        <v>15</v>
      </c>
      <c r="G73" s="116">
        <v>20</v>
      </c>
      <c r="H73" s="116">
        <v>25</v>
      </c>
      <c r="I73" s="116">
        <v>30</v>
      </c>
      <c r="J73" s="117" t="s">
        <v>39</v>
      </c>
      <c r="K73" s="117" t="s">
        <v>40</v>
      </c>
      <c r="L73" s="117" t="s">
        <v>41</v>
      </c>
      <c r="M73" s="117" t="s">
        <v>42</v>
      </c>
      <c r="N73" s="117" t="s">
        <v>43</v>
      </c>
      <c r="O73" s="117" t="s">
        <v>44</v>
      </c>
    </row>
    <row r="74" spans="1:15" ht="14.25">
      <c r="A74" s="118" t="s">
        <v>107</v>
      </c>
      <c r="B74" s="144" t="s">
        <v>108</v>
      </c>
      <c r="C74" s="178" t="s">
        <v>48</v>
      </c>
      <c r="D74" s="144">
        <v>21</v>
      </c>
      <c r="E74" s="144">
        <v>20</v>
      </c>
      <c r="F74" s="144">
        <v>19</v>
      </c>
      <c r="G74" s="144">
        <v>18</v>
      </c>
      <c r="H74" s="144">
        <v>16</v>
      </c>
      <c r="I74" s="144">
        <v>14</v>
      </c>
      <c r="J74" s="144">
        <v>65</v>
      </c>
      <c r="K74" s="144">
        <v>2.2000000000000002</v>
      </c>
      <c r="L74" s="144">
        <v>2860</v>
      </c>
      <c r="M74" s="145" t="s">
        <v>67</v>
      </c>
      <c r="N74" s="144">
        <v>62</v>
      </c>
      <c r="O74" s="34">
        <v>3502</v>
      </c>
    </row>
    <row r="75" spans="1:15" ht="14.25">
      <c r="A75" s="118" t="s">
        <v>109</v>
      </c>
      <c r="B75" s="31" t="s">
        <v>110</v>
      </c>
      <c r="C75" s="178"/>
      <c r="D75" s="31">
        <v>24</v>
      </c>
      <c r="E75" s="31">
        <v>23</v>
      </c>
      <c r="F75" s="31">
        <v>22</v>
      </c>
      <c r="G75" s="31">
        <v>20</v>
      </c>
      <c r="H75" s="31">
        <v>17</v>
      </c>
      <c r="I75" s="31">
        <v>15</v>
      </c>
      <c r="J75" s="31">
        <v>65</v>
      </c>
      <c r="K75" s="31">
        <v>3</v>
      </c>
      <c r="L75" s="31">
        <v>2880</v>
      </c>
      <c r="M75" s="119" t="s">
        <v>70</v>
      </c>
      <c r="N75" s="31">
        <v>63</v>
      </c>
      <c r="O75" s="34">
        <v>4301</v>
      </c>
    </row>
    <row r="76" spans="1:15" ht="42.75">
      <c r="A76" s="146" t="s">
        <v>36</v>
      </c>
      <c r="B76" s="32" t="s">
        <v>37</v>
      </c>
      <c r="C76" s="143" t="s">
        <v>38</v>
      </c>
      <c r="D76" s="143">
        <v>10</v>
      </c>
      <c r="E76" s="143">
        <v>20</v>
      </c>
      <c r="F76" s="143">
        <v>30</v>
      </c>
      <c r="G76" s="143">
        <v>40</v>
      </c>
      <c r="H76" s="143">
        <v>50</v>
      </c>
      <c r="I76" s="143">
        <v>60</v>
      </c>
      <c r="J76" s="143" t="s">
        <v>39</v>
      </c>
      <c r="K76" s="143" t="s">
        <v>40</v>
      </c>
      <c r="L76" s="143" t="s">
        <v>41</v>
      </c>
      <c r="M76" s="143" t="s">
        <v>42</v>
      </c>
      <c r="N76" s="143" t="s">
        <v>43</v>
      </c>
      <c r="O76" s="143" t="s">
        <v>44</v>
      </c>
    </row>
    <row r="77" spans="1:15" ht="14.25">
      <c r="A77" s="118" t="s">
        <v>111</v>
      </c>
      <c r="B77" s="31" t="s">
        <v>112</v>
      </c>
      <c r="C77" s="171" t="s">
        <v>48</v>
      </c>
      <c r="D77" s="31">
        <v>30</v>
      </c>
      <c r="E77" s="31">
        <v>29</v>
      </c>
      <c r="F77" s="31">
        <v>26</v>
      </c>
      <c r="G77" s="31">
        <v>25</v>
      </c>
      <c r="H77" s="31">
        <v>23</v>
      </c>
      <c r="I77" s="31">
        <v>18</v>
      </c>
      <c r="J77" s="31">
        <v>65</v>
      </c>
      <c r="K77" s="31">
        <v>4</v>
      </c>
      <c r="L77" s="31">
        <v>2910</v>
      </c>
      <c r="M77" s="119" t="s">
        <v>87</v>
      </c>
      <c r="N77" s="31">
        <v>65</v>
      </c>
      <c r="O77" s="34">
        <v>5287</v>
      </c>
    </row>
    <row r="78" spans="1:15" ht="14.25">
      <c r="A78" s="120" t="s">
        <v>113</v>
      </c>
      <c r="B78" s="121" t="s">
        <v>114</v>
      </c>
      <c r="C78" s="172"/>
      <c r="D78" s="121">
        <v>38</v>
      </c>
      <c r="E78" s="121">
        <v>36</v>
      </c>
      <c r="F78" s="121">
        <v>34</v>
      </c>
      <c r="G78" s="121">
        <v>32</v>
      </c>
      <c r="H78" s="121">
        <v>28</v>
      </c>
      <c r="I78" s="121">
        <v>26</v>
      </c>
      <c r="J78" s="121">
        <v>65</v>
      </c>
      <c r="K78" s="121">
        <v>5.5</v>
      </c>
      <c r="L78" s="121">
        <v>2920</v>
      </c>
      <c r="M78" s="122" t="s">
        <v>100</v>
      </c>
      <c r="N78" s="121">
        <v>69</v>
      </c>
      <c r="O78" s="141">
        <v>7599</v>
      </c>
    </row>
    <row r="79" spans="1:15" ht="14.25">
      <c r="A79" s="123"/>
      <c r="B79" s="123"/>
      <c r="C79" s="124"/>
      <c r="D79" s="123"/>
      <c r="E79" s="123"/>
      <c r="F79" s="123"/>
      <c r="G79" s="123"/>
      <c r="H79" s="123"/>
      <c r="I79" s="123"/>
      <c r="J79" s="123"/>
      <c r="K79" s="123"/>
      <c r="L79" s="123"/>
      <c r="M79" s="124"/>
      <c r="N79" s="123"/>
      <c r="O79" s="142"/>
    </row>
    <row r="80" spans="1:15" ht="42.75">
      <c r="A80" s="115" t="s">
        <v>36</v>
      </c>
      <c r="B80" s="116" t="s">
        <v>37</v>
      </c>
      <c r="C80" s="117" t="s">
        <v>38</v>
      </c>
      <c r="D80" s="116">
        <v>10</v>
      </c>
      <c r="E80" s="116">
        <v>20</v>
      </c>
      <c r="F80" s="116">
        <v>30</v>
      </c>
      <c r="G80" s="116">
        <v>40</v>
      </c>
      <c r="H80" s="116">
        <v>50</v>
      </c>
      <c r="I80" s="116">
        <v>60</v>
      </c>
      <c r="J80" s="117" t="s">
        <v>39</v>
      </c>
      <c r="K80" s="117" t="s">
        <v>40</v>
      </c>
      <c r="L80" s="117" t="s">
        <v>41</v>
      </c>
      <c r="M80" s="117" t="s">
        <v>42</v>
      </c>
      <c r="N80" s="117" t="s">
        <v>43</v>
      </c>
      <c r="O80" s="117" t="s">
        <v>44</v>
      </c>
    </row>
    <row r="81" spans="1:15" ht="14.25">
      <c r="A81" s="118" t="s">
        <v>115</v>
      </c>
      <c r="B81" s="31" t="s">
        <v>116</v>
      </c>
      <c r="C81" s="171" t="s">
        <v>48</v>
      </c>
      <c r="D81" s="31">
        <v>42</v>
      </c>
      <c r="E81" s="31">
        <v>41</v>
      </c>
      <c r="F81" s="31">
        <v>39</v>
      </c>
      <c r="G81" s="31">
        <v>36</v>
      </c>
      <c r="H81" s="31">
        <v>34</v>
      </c>
      <c r="I81" s="31">
        <v>30</v>
      </c>
      <c r="J81" s="31">
        <v>65</v>
      </c>
      <c r="K81" s="31">
        <v>7.5</v>
      </c>
      <c r="L81" s="31">
        <v>2920</v>
      </c>
      <c r="M81" s="119" t="s">
        <v>103</v>
      </c>
      <c r="N81" s="31">
        <v>64</v>
      </c>
      <c r="O81" s="34">
        <v>8534</v>
      </c>
    </row>
    <row r="82" spans="1:15" ht="14.25">
      <c r="A82" s="118" t="s">
        <v>117</v>
      </c>
      <c r="B82" s="31" t="s">
        <v>118</v>
      </c>
      <c r="C82" s="171"/>
      <c r="D82" s="31">
        <v>50</v>
      </c>
      <c r="E82" s="31">
        <v>48</v>
      </c>
      <c r="F82" s="31">
        <v>46</v>
      </c>
      <c r="G82" s="31">
        <v>44</v>
      </c>
      <c r="H82" s="31">
        <v>38</v>
      </c>
      <c r="I82" s="31">
        <v>32</v>
      </c>
      <c r="J82" s="31">
        <v>65</v>
      </c>
      <c r="K82" s="31">
        <v>7.5</v>
      </c>
      <c r="L82" s="31">
        <v>2920</v>
      </c>
      <c r="M82" s="119" t="s">
        <v>103</v>
      </c>
      <c r="N82" s="31">
        <v>62</v>
      </c>
      <c r="O82" s="34">
        <v>8840</v>
      </c>
    </row>
    <row r="83" spans="1:15" ht="14.25">
      <c r="A83" s="118" t="s">
        <v>119</v>
      </c>
      <c r="B83" s="31" t="s">
        <v>120</v>
      </c>
      <c r="C83" s="171"/>
      <c r="D83" s="31">
        <v>64</v>
      </c>
      <c r="E83" s="31">
        <v>62</v>
      </c>
      <c r="F83" s="31">
        <v>58</v>
      </c>
      <c r="G83" s="31">
        <v>55</v>
      </c>
      <c r="H83" s="31">
        <v>48</v>
      </c>
      <c r="I83" s="31">
        <v>42</v>
      </c>
      <c r="J83" s="31">
        <v>65</v>
      </c>
      <c r="K83" s="31">
        <v>11</v>
      </c>
      <c r="L83" s="31">
        <v>2940</v>
      </c>
      <c r="M83" s="119" t="s">
        <v>106</v>
      </c>
      <c r="N83" s="31">
        <v>58</v>
      </c>
      <c r="O83" s="34">
        <v>12342</v>
      </c>
    </row>
    <row r="84" spans="1:15" ht="14.25">
      <c r="A84" s="120" t="s">
        <v>121</v>
      </c>
      <c r="B84" s="121" t="s">
        <v>122</v>
      </c>
      <c r="C84" s="172"/>
      <c r="D84" s="121">
        <v>68</v>
      </c>
      <c r="E84" s="121">
        <v>67</v>
      </c>
      <c r="F84" s="121">
        <v>65</v>
      </c>
      <c r="G84" s="121">
        <v>62</v>
      </c>
      <c r="H84" s="121">
        <v>58</v>
      </c>
      <c r="I84" s="121">
        <v>54</v>
      </c>
      <c r="J84" s="121">
        <v>65</v>
      </c>
      <c r="K84" s="121">
        <v>15</v>
      </c>
      <c r="L84" s="121">
        <v>2940</v>
      </c>
      <c r="M84" s="122" t="s">
        <v>123</v>
      </c>
      <c r="N84" s="121">
        <v>60</v>
      </c>
      <c r="O84" s="141">
        <v>14178</v>
      </c>
    </row>
    <row r="85" spans="1:15" ht="14.25">
      <c r="A85" s="123"/>
      <c r="B85" s="1"/>
      <c r="C85" s="147"/>
      <c r="D85" s="1"/>
      <c r="E85" s="1"/>
      <c r="F85" s="1"/>
      <c r="G85" s="1"/>
      <c r="H85" s="1"/>
      <c r="I85" s="1"/>
      <c r="J85" s="1"/>
      <c r="K85" s="1"/>
      <c r="L85" s="1"/>
      <c r="M85" s="147"/>
      <c r="N85" s="1"/>
      <c r="O85" s="1"/>
    </row>
    <row r="86" spans="1:15" ht="42.75">
      <c r="A86" s="115" t="s">
        <v>36</v>
      </c>
      <c r="B86" s="116" t="s">
        <v>37</v>
      </c>
      <c r="C86" s="117" t="s">
        <v>38</v>
      </c>
      <c r="D86" s="116">
        <v>10</v>
      </c>
      <c r="E86" s="116">
        <v>20</v>
      </c>
      <c r="F86" s="116">
        <v>30</v>
      </c>
      <c r="G86" s="116">
        <v>40</v>
      </c>
      <c r="H86" s="116">
        <v>50</v>
      </c>
      <c r="I86" s="116">
        <v>60</v>
      </c>
      <c r="J86" s="117" t="s">
        <v>39</v>
      </c>
      <c r="K86" s="117" t="s">
        <v>40</v>
      </c>
      <c r="L86" s="117" t="s">
        <v>41</v>
      </c>
      <c r="M86" s="117" t="s">
        <v>42</v>
      </c>
      <c r="N86" s="117" t="s">
        <v>43</v>
      </c>
      <c r="O86" s="117" t="s">
        <v>44</v>
      </c>
    </row>
    <row r="87" spans="1:15" ht="14.25">
      <c r="A87" s="118" t="s">
        <v>124</v>
      </c>
      <c r="B87" s="31" t="s">
        <v>125</v>
      </c>
      <c r="C87" s="171" t="s">
        <v>48</v>
      </c>
      <c r="D87" s="31">
        <v>21</v>
      </c>
      <c r="E87" s="31">
        <v>20</v>
      </c>
      <c r="F87" s="31">
        <v>19</v>
      </c>
      <c r="G87" s="31">
        <v>18</v>
      </c>
      <c r="H87" s="31">
        <v>17</v>
      </c>
      <c r="I87" s="31">
        <v>14</v>
      </c>
      <c r="J87" s="31">
        <v>80</v>
      </c>
      <c r="K87" s="31">
        <v>3</v>
      </c>
      <c r="L87" s="31">
        <v>2880</v>
      </c>
      <c r="M87" s="119" t="s">
        <v>70</v>
      </c>
      <c r="N87" s="31">
        <v>74</v>
      </c>
      <c r="O87" s="31">
        <v>4709</v>
      </c>
    </row>
    <row r="88" spans="1:15" ht="14.25">
      <c r="A88" s="118" t="s">
        <v>126</v>
      </c>
      <c r="B88" s="31" t="s">
        <v>127</v>
      </c>
      <c r="C88" s="171"/>
      <c r="D88" s="31">
        <v>26</v>
      </c>
      <c r="E88" s="31">
        <v>25</v>
      </c>
      <c r="F88" s="31">
        <v>24</v>
      </c>
      <c r="G88" s="31">
        <v>23</v>
      </c>
      <c r="H88" s="31">
        <v>21</v>
      </c>
      <c r="I88" s="31">
        <v>18</v>
      </c>
      <c r="J88" s="31">
        <v>80</v>
      </c>
      <c r="K88" s="31">
        <v>4</v>
      </c>
      <c r="L88" s="31">
        <v>2910</v>
      </c>
      <c r="M88" s="119" t="s">
        <v>87</v>
      </c>
      <c r="N88" s="31">
        <v>75</v>
      </c>
      <c r="O88" s="31">
        <v>5355</v>
      </c>
    </row>
    <row r="89" spans="1:15" ht="42.75">
      <c r="A89" s="146" t="s">
        <v>36</v>
      </c>
      <c r="B89" s="32" t="s">
        <v>37</v>
      </c>
      <c r="C89" s="143" t="s">
        <v>38</v>
      </c>
      <c r="D89" s="143">
        <v>40</v>
      </c>
      <c r="E89" s="143">
        <v>50</v>
      </c>
      <c r="F89" s="143">
        <v>60</v>
      </c>
      <c r="G89" s="143">
        <v>70</v>
      </c>
      <c r="H89" s="143">
        <v>80</v>
      </c>
      <c r="I89" s="143">
        <v>90</v>
      </c>
      <c r="J89" s="143" t="s">
        <v>39</v>
      </c>
      <c r="K89" s="143" t="s">
        <v>40</v>
      </c>
      <c r="L89" s="143" t="s">
        <v>41</v>
      </c>
      <c r="M89" s="143" t="s">
        <v>42</v>
      </c>
      <c r="N89" s="143" t="s">
        <v>43</v>
      </c>
      <c r="O89" s="143" t="s">
        <v>44</v>
      </c>
    </row>
    <row r="90" spans="1:15" ht="14.25">
      <c r="A90" s="118" t="s">
        <v>128</v>
      </c>
      <c r="B90" s="31" t="s">
        <v>129</v>
      </c>
      <c r="C90" s="171" t="s">
        <v>48</v>
      </c>
      <c r="D90" s="31">
        <v>26</v>
      </c>
      <c r="E90" s="31">
        <v>25</v>
      </c>
      <c r="F90" s="31">
        <v>24</v>
      </c>
      <c r="G90" s="31">
        <v>22</v>
      </c>
      <c r="H90" s="31">
        <v>19</v>
      </c>
      <c r="I90" s="31">
        <v>16</v>
      </c>
      <c r="J90" s="31">
        <v>80</v>
      </c>
      <c r="K90" s="31">
        <v>5.5</v>
      </c>
      <c r="L90" s="31">
        <v>2920</v>
      </c>
      <c r="M90" s="119" t="s">
        <v>100</v>
      </c>
      <c r="N90" s="31">
        <v>67</v>
      </c>
      <c r="O90" s="31">
        <v>7820</v>
      </c>
    </row>
    <row r="91" spans="1:15" ht="14.25">
      <c r="A91" s="120" t="s">
        <v>130</v>
      </c>
      <c r="B91" s="121" t="s">
        <v>131</v>
      </c>
      <c r="C91" s="172"/>
      <c r="D91" s="121">
        <v>31</v>
      </c>
      <c r="E91" s="121">
        <v>30</v>
      </c>
      <c r="F91" s="121">
        <v>29</v>
      </c>
      <c r="G91" s="121">
        <v>27</v>
      </c>
      <c r="H91" s="121">
        <v>25</v>
      </c>
      <c r="I91" s="121">
        <v>22</v>
      </c>
      <c r="J91" s="121">
        <v>80</v>
      </c>
      <c r="K91" s="121">
        <v>7.5</v>
      </c>
      <c r="L91" s="121">
        <v>2920</v>
      </c>
      <c r="M91" s="122" t="s">
        <v>103</v>
      </c>
      <c r="N91" s="121">
        <v>72</v>
      </c>
      <c r="O91" s="121">
        <v>8755</v>
      </c>
    </row>
    <row r="92" spans="1:15" ht="14.25">
      <c r="A92" s="123"/>
      <c r="B92" s="123"/>
      <c r="C92" s="124"/>
      <c r="D92" s="123"/>
      <c r="E92" s="123"/>
      <c r="F92" s="123"/>
      <c r="G92" s="123"/>
      <c r="H92" s="123"/>
      <c r="I92" s="123"/>
      <c r="J92" s="123"/>
      <c r="K92" s="123"/>
      <c r="L92" s="123"/>
      <c r="M92" s="124"/>
      <c r="N92" s="123"/>
      <c r="O92" s="1"/>
    </row>
    <row r="93" spans="1:15" ht="42.75">
      <c r="A93" s="115" t="s">
        <v>36</v>
      </c>
      <c r="B93" s="116" t="s">
        <v>37</v>
      </c>
      <c r="C93" s="117" t="s">
        <v>38</v>
      </c>
      <c r="D93" s="116">
        <v>60</v>
      </c>
      <c r="E93" s="116">
        <v>70</v>
      </c>
      <c r="F93" s="116">
        <v>80</v>
      </c>
      <c r="G93" s="116">
        <v>90</v>
      </c>
      <c r="H93" s="116">
        <v>100</v>
      </c>
      <c r="I93" s="116">
        <v>110</v>
      </c>
      <c r="J93" s="117" t="s">
        <v>39</v>
      </c>
      <c r="K93" s="117" t="s">
        <v>40</v>
      </c>
      <c r="L93" s="117" t="s">
        <v>41</v>
      </c>
      <c r="M93" s="117" t="s">
        <v>42</v>
      </c>
      <c r="N93" s="117" t="s">
        <v>43</v>
      </c>
      <c r="O93" s="117" t="s">
        <v>44</v>
      </c>
    </row>
    <row r="94" spans="1:15" ht="14.25">
      <c r="A94" s="118" t="s">
        <v>132</v>
      </c>
      <c r="B94" s="31" t="s">
        <v>133</v>
      </c>
      <c r="C94" s="171" t="s">
        <v>48</v>
      </c>
      <c r="D94" s="31">
        <v>37</v>
      </c>
      <c r="E94" s="31">
        <v>36</v>
      </c>
      <c r="F94" s="31">
        <v>35</v>
      </c>
      <c r="G94" s="31">
        <v>33</v>
      </c>
      <c r="H94" s="31">
        <v>30</v>
      </c>
      <c r="I94" s="31">
        <v>27</v>
      </c>
      <c r="J94" s="31">
        <v>80</v>
      </c>
      <c r="K94" s="31">
        <v>11</v>
      </c>
      <c r="L94" s="31">
        <v>2940</v>
      </c>
      <c r="M94" s="119" t="s">
        <v>106</v>
      </c>
      <c r="N94" s="31">
        <v>69</v>
      </c>
      <c r="O94" s="34">
        <v>12223</v>
      </c>
    </row>
    <row r="95" spans="1:15" ht="14.25">
      <c r="A95" s="118" t="s">
        <v>134</v>
      </c>
      <c r="B95" s="31" t="s">
        <v>135</v>
      </c>
      <c r="C95" s="171"/>
      <c r="D95" s="31">
        <v>44</v>
      </c>
      <c r="E95" s="31">
        <v>43</v>
      </c>
      <c r="F95" s="31">
        <v>41</v>
      </c>
      <c r="G95" s="31">
        <v>39</v>
      </c>
      <c r="H95" s="31">
        <v>34</v>
      </c>
      <c r="I95" s="31">
        <v>32</v>
      </c>
      <c r="J95" s="31">
        <v>80</v>
      </c>
      <c r="K95" s="31">
        <v>15</v>
      </c>
      <c r="L95" s="31">
        <v>2940</v>
      </c>
      <c r="M95" s="119" t="s">
        <v>123</v>
      </c>
      <c r="N95" s="31">
        <v>74</v>
      </c>
      <c r="O95" s="34">
        <v>14059</v>
      </c>
    </row>
    <row r="96" spans="1:15" ht="42.75">
      <c r="A96" s="146" t="s">
        <v>36</v>
      </c>
      <c r="B96" s="32" t="s">
        <v>37</v>
      </c>
      <c r="C96" s="143" t="s">
        <v>38</v>
      </c>
      <c r="D96" s="143">
        <v>70</v>
      </c>
      <c r="E96" s="143">
        <v>80</v>
      </c>
      <c r="F96" s="143">
        <v>90</v>
      </c>
      <c r="G96" s="143">
        <v>100</v>
      </c>
      <c r="H96" s="143">
        <v>110</v>
      </c>
      <c r="I96" s="143">
        <v>120</v>
      </c>
      <c r="J96" s="143" t="s">
        <v>39</v>
      </c>
      <c r="K96" s="143" t="s">
        <v>40</v>
      </c>
      <c r="L96" s="143" t="s">
        <v>41</v>
      </c>
      <c r="M96" s="143" t="s">
        <v>42</v>
      </c>
      <c r="N96" s="143" t="s">
        <v>43</v>
      </c>
      <c r="O96" s="143" t="s">
        <v>44</v>
      </c>
    </row>
    <row r="97" spans="1:15" ht="14.25">
      <c r="A97" s="118" t="s">
        <v>136</v>
      </c>
      <c r="B97" s="31" t="s">
        <v>137</v>
      </c>
      <c r="C97" s="171" t="s">
        <v>48</v>
      </c>
      <c r="D97" s="31">
        <v>59</v>
      </c>
      <c r="E97" s="31">
        <v>57</v>
      </c>
      <c r="F97" s="31">
        <v>55</v>
      </c>
      <c r="G97" s="31">
        <v>52</v>
      </c>
      <c r="H97" s="31">
        <v>48</v>
      </c>
      <c r="I97" s="31">
        <v>45</v>
      </c>
      <c r="J97" s="31">
        <v>80</v>
      </c>
      <c r="K97" s="31">
        <v>18.5</v>
      </c>
      <c r="L97" s="31">
        <v>2940</v>
      </c>
      <c r="M97" s="119" t="s">
        <v>138</v>
      </c>
      <c r="N97" s="31">
        <v>77</v>
      </c>
      <c r="O97" s="34">
        <v>16218</v>
      </c>
    </row>
    <row r="98" spans="1:15" ht="14.25">
      <c r="A98" s="120" t="s">
        <v>139</v>
      </c>
      <c r="B98" s="121" t="s">
        <v>140</v>
      </c>
      <c r="C98" s="172"/>
      <c r="D98" s="121">
        <v>64</v>
      </c>
      <c r="E98" s="121">
        <v>63</v>
      </c>
      <c r="F98" s="121">
        <v>61</v>
      </c>
      <c r="G98" s="121">
        <v>58</v>
      </c>
      <c r="H98" s="121">
        <v>54</v>
      </c>
      <c r="I98" s="121">
        <v>50</v>
      </c>
      <c r="J98" s="121">
        <v>80</v>
      </c>
      <c r="K98" s="121">
        <v>22</v>
      </c>
      <c r="L98" s="121">
        <v>2950</v>
      </c>
      <c r="M98" s="122" t="s">
        <v>141</v>
      </c>
      <c r="N98" s="121">
        <v>73</v>
      </c>
      <c r="O98" s="141">
        <v>18972</v>
      </c>
    </row>
    <row r="99" spans="1:15" ht="14.25">
      <c r="A99" s="123"/>
      <c r="B99" s="123"/>
      <c r="C99" s="124"/>
      <c r="D99" s="123"/>
      <c r="E99" s="123"/>
      <c r="F99" s="123"/>
      <c r="G99" s="123"/>
      <c r="H99" s="123"/>
      <c r="I99" s="123"/>
      <c r="J99" s="123"/>
      <c r="K99" s="123"/>
      <c r="L99" s="123"/>
      <c r="M99" s="124"/>
      <c r="N99" s="123"/>
      <c r="O99" s="142"/>
    </row>
    <row r="100" spans="1:15" ht="42.75">
      <c r="A100" s="115" t="s">
        <v>36</v>
      </c>
      <c r="B100" s="116" t="s">
        <v>37</v>
      </c>
      <c r="C100" s="117" t="s">
        <v>38</v>
      </c>
      <c r="D100" s="116">
        <v>70</v>
      </c>
      <c r="E100" s="116">
        <v>80</v>
      </c>
      <c r="F100" s="116">
        <v>90</v>
      </c>
      <c r="G100" s="116">
        <v>100</v>
      </c>
      <c r="H100" s="116">
        <v>110</v>
      </c>
      <c r="I100" s="116">
        <v>120</v>
      </c>
      <c r="J100" s="117" t="s">
        <v>39</v>
      </c>
      <c r="K100" s="117" t="s">
        <v>40</v>
      </c>
      <c r="L100" s="117" t="s">
        <v>41</v>
      </c>
      <c r="M100" s="117" t="s">
        <v>42</v>
      </c>
      <c r="N100" s="117" t="s">
        <v>43</v>
      </c>
      <c r="O100" s="117" t="s">
        <v>44</v>
      </c>
    </row>
    <row r="101" spans="1:15" ht="14.25">
      <c r="A101" s="118" t="s">
        <v>142</v>
      </c>
      <c r="B101" s="129" t="s">
        <v>143</v>
      </c>
      <c r="C101" s="173" t="s">
        <v>48</v>
      </c>
      <c r="D101" s="129">
        <v>26</v>
      </c>
      <c r="E101" s="129">
        <v>24</v>
      </c>
      <c r="F101" s="129">
        <v>22</v>
      </c>
      <c r="G101" s="129">
        <v>19</v>
      </c>
      <c r="H101" s="129">
        <v>16</v>
      </c>
      <c r="I101" s="129">
        <v>11</v>
      </c>
      <c r="J101" s="129">
        <v>80</v>
      </c>
      <c r="K101" s="129">
        <v>7.5</v>
      </c>
      <c r="L101" s="129">
        <v>2920</v>
      </c>
      <c r="M101" s="130" t="s">
        <v>103</v>
      </c>
      <c r="N101" s="129">
        <v>76</v>
      </c>
      <c r="O101" s="34">
        <v>8891</v>
      </c>
    </row>
    <row r="102" spans="1:15" ht="14.25">
      <c r="A102" s="118" t="s">
        <v>144</v>
      </c>
      <c r="B102" s="31" t="s">
        <v>145</v>
      </c>
      <c r="C102" s="173"/>
      <c r="D102" s="31">
        <v>34</v>
      </c>
      <c r="E102" s="31">
        <v>32</v>
      </c>
      <c r="F102" s="31">
        <v>31</v>
      </c>
      <c r="G102" s="31">
        <v>29</v>
      </c>
      <c r="H102" s="31">
        <v>27</v>
      </c>
      <c r="I102" s="31">
        <v>23</v>
      </c>
      <c r="J102" s="31">
        <v>80</v>
      </c>
      <c r="K102" s="31">
        <v>11</v>
      </c>
      <c r="L102" s="31">
        <v>2940</v>
      </c>
      <c r="M102" s="119" t="s">
        <v>106</v>
      </c>
      <c r="N102" s="31">
        <v>74</v>
      </c>
      <c r="O102" s="34">
        <v>12240</v>
      </c>
    </row>
    <row r="103" spans="1:15" ht="14.25">
      <c r="A103" s="118" t="s">
        <v>146</v>
      </c>
      <c r="B103" s="31" t="s">
        <v>147</v>
      </c>
      <c r="C103" s="173"/>
      <c r="D103" s="31">
        <v>40</v>
      </c>
      <c r="E103" s="31">
        <v>39</v>
      </c>
      <c r="F103" s="31">
        <v>38</v>
      </c>
      <c r="G103" s="31">
        <v>36</v>
      </c>
      <c r="H103" s="31">
        <v>34</v>
      </c>
      <c r="I103" s="31">
        <v>32</v>
      </c>
      <c r="J103" s="31">
        <v>80</v>
      </c>
      <c r="K103" s="31">
        <v>15</v>
      </c>
      <c r="L103" s="31">
        <v>2940</v>
      </c>
      <c r="M103" s="119" t="s">
        <v>123</v>
      </c>
      <c r="N103" s="31">
        <v>80</v>
      </c>
      <c r="O103" s="34">
        <v>14076</v>
      </c>
    </row>
    <row r="104" spans="1:15" ht="14.25">
      <c r="A104" s="120" t="s">
        <v>148</v>
      </c>
      <c r="B104" s="121" t="s">
        <v>149</v>
      </c>
      <c r="C104" s="174"/>
      <c r="D104" s="121">
        <v>16</v>
      </c>
      <c r="E104" s="121">
        <v>15</v>
      </c>
      <c r="F104" s="121">
        <v>13</v>
      </c>
      <c r="G104" s="121">
        <v>12</v>
      </c>
      <c r="H104" s="121">
        <v>11</v>
      </c>
      <c r="I104" s="121">
        <v>9</v>
      </c>
      <c r="J104" s="121">
        <v>100</v>
      </c>
      <c r="K104" s="121">
        <v>5.5</v>
      </c>
      <c r="L104" s="121">
        <v>2920</v>
      </c>
      <c r="M104" s="122" t="s">
        <v>100</v>
      </c>
      <c r="N104" s="121">
        <v>69</v>
      </c>
      <c r="O104" s="141">
        <v>8160</v>
      </c>
    </row>
    <row r="105" spans="1:15" ht="14.25">
      <c r="A105" s="123"/>
      <c r="B105" s="123"/>
      <c r="C105" s="124"/>
      <c r="D105" s="123"/>
      <c r="E105" s="123"/>
      <c r="F105" s="123"/>
      <c r="G105" s="123"/>
      <c r="H105" s="123"/>
      <c r="I105" s="123"/>
      <c r="J105" s="123"/>
      <c r="K105" s="123"/>
      <c r="L105" s="123"/>
      <c r="M105" s="124"/>
      <c r="N105" s="123"/>
      <c r="O105" s="142"/>
    </row>
    <row r="106" spans="1:15" ht="42.75">
      <c r="A106" s="115" t="s">
        <v>36</v>
      </c>
      <c r="B106" s="116" t="s">
        <v>37</v>
      </c>
      <c r="C106" s="117" t="s">
        <v>38</v>
      </c>
      <c r="D106" s="116">
        <v>70</v>
      </c>
      <c r="E106" s="116">
        <v>80</v>
      </c>
      <c r="F106" s="116">
        <v>90</v>
      </c>
      <c r="G106" s="116">
        <v>100</v>
      </c>
      <c r="H106" s="116">
        <v>110</v>
      </c>
      <c r="I106" s="116">
        <v>120</v>
      </c>
      <c r="J106" s="117" t="s">
        <v>39</v>
      </c>
      <c r="K106" s="117" t="s">
        <v>40</v>
      </c>
      <c r="L106" s="117" t="s">
        <v>41</v>
      </c>
      <c r="M106" s="117" t="s">
        <v>42</v>
      </c>
      <c r="N106" s="117" t="s">
        <v>43</v>
      </c>
      <c r="O106" s="117" t="s">
        <v>44</v>
      </c>
    </row>
    <row r="107" spans="1:15" ht="14.25">
      <c r="A107" s="118" t="s">
        <v>150</v>
      </c>
      <c r="B107" s="31" t="s">
        <v>151</v>
      </c>
      <c r="C107" s="171" t="s">
        <v>48</v>
      </c>
      <c r="D107" s="31">
        <v>23</v>
      </c>
      <c r="E107" s="31">
        <v>21</v>
      </c>
      <c r="F107" s="31">
        <v>20</v>
      </c>
      <c r="G107" s="31">
        <v>18</v>
      </c>
      <c r="H107" s="31">
        <v>16</v>
      </c>
      <c r="I107" s="31">
        <v>14</v>
      </c>
      <c r="J107" s="31">
        <v>100</v>
      </c>
      <c r="K107" s="31">
        <v>7.5</v>
      </c>
      <c r="L107" s="31">
        <v>2920</v>
      </c>
      <c r="M107" s="119" t="s">
        <v>103</v>
      </c>
      <c r="N107" s="31">
        <v>72</v>
      </c>
      <c r="O107" s="34">
        <v>9095</v>
      </c>
    </row>
    <row r="108" spans="1:15" ht="14.25">
      <c r="A108" s="118" t="s">
        <v>152</v>
      </c>
      <c r="B108" s="31" t="s">
        <v>153</v>
      </c>
      <c r="C108" s="171"/>
      <c r="D108" s="31">
        <v>27</v>
      </c>
      <c r="E108" s="31">
        <v>26</v>
      </c>
      <c r="F108" s="31">
        <v>25</v>
      </c>
      <c r="G108" s="31">
        <v>24</v>
      </c>
      <c r="H108" s="31">
        <v>22</v>
      </c>
      <c r="I108" s="31">
        <v>20</v>
      </c>
      <c r="J108" s="31">
        <v>100</v>
      </c>
      <c r="K108" s="31">
        <v>11</v>
      </c>
      <c r="L108" s="31">
        <v>2940</v>
      </c>
      <c r="M108" s="119" t="s">
        <v>106</v>
      </c>
      <c r="N108" s="31">
        <v>75</v>
      </c>
      <c r="O108" s="34">
        <v>12512</v>
      </c>
    </row>
    <row r="109" spans="1:15" ht="42.75">
      <c r="A109" s="146" t="s">
        <v>36</v>
      </c>
      <c r="B109" s="32" t="s">
        <v>37</v>
      </c>
      <c r="C109" s="143" t="s">
        <v>38</v>
      </c>
      <c r="D109" s="143">
        <v>60</v>
      </c>
      <c r="E109" s="143">
        <v>80</v>
      </c>
      <c r="F109" s="143">
        <v>100</v>
      </c>
      <c r="G109" s="143">
        <v>120</v>
      </c>
      <c r="H109" s="143">
        <v>140</v>
      </c>
      <c r="I109" s="143">
        <v>160</v>
      </c>
      <c r="J109" s="143" t="s">
        <v>39</v>
      </c>
      <c r="K109" s="143" t="s">
        <v>40</v>
      </c>
      <c r="L109" s="143" t="s">
        <v>41</v>
      </c>
      <c r="M109" s="143" t="s">
        <v>42</v>
      </c>
      <c r="N109" s="143" t="s">
        <v>43</v>
      </c>
      <c r="O109" s="143" t="s">
        <v>44</v>
      </c>
    </row>
    <row r="110" spans="1:15" ht="14.25">
      <c r="A110" s="118" t="s">
        <v>154</v>
      </c>
      <c r="B110" s="31" t="s">
        <v>155</v>
      </c>
      <c r="C110" s="171" t="s">
        <v>48</v>
      </c>
      <c r="D110" s="31">
        <v>38</v>
      </c>
      <c r="E110" s="31">
        <v>37</v>
      </c>
      <c r="F110" s="31">
        <v>36</v>
      </c>
      <c r="G110" s="31">
        <v>34</v>
      </c>
      <c r="H110" s="31">
        <v>32</v>
      </c>
      <c r="I110" s="31">
        <v>26</v>
      </c>
      <c r="J110" s="31">
        <v>100</v>
      </c>
      <c r="K110" s="31">
        <v>15</v>
      </c>
      <c r="L110" s="31">
        <v>2940</v>
      </c>
      <c r="M110" s="119" t="s">
        <v>123</v>
      </c>
      <c r="N110" s="31">
        <v>74</v>
      </c>
      <c r="O110" s="34">
        <v>14535</v>
      </c>
    </row>
    <row r="111" spans="1:15" ht="14.25">
      <c r="A111" s="120" t="s">
        <v>156</v>
      </c>
      <c r="B111" s="121" t="s">
        <v>157</v>
      </c>
      <c r="C111" s="172"/>
      <c r="D111" s="121">
        <v>42</v>
      </c>
      <c r="E111" s="121">
        <v>41</v>
      </c>
      <c r="F111" s="121">
        <v>39</v>
      </c>
      <c r="G111" s="121">
        <v>37</v>
      </c>
      <c r="H111" s="121">
        <v>34</v>
      </c>
      <c r="I111" s="121">
        <v>32</v>
      </c>
      <c r="J111" s="121">
        <v>100</v>
      </c>
      <c r="K111" s="121">
        <v>18.5</v>
      </c>
      <c r="L111" s="121">
        <v>2940</v>
      </c>
      <c r="M111" s="122" t="s">
        <v>138</v>
      </c>
      <c r="N111" s="121">
        <v>75</v>
      </c>
      <c r="O111" s="141">
        <v>16354</v>
      </c>
    </row>
    <row r="112" spans="1:15" ht="14.25">
      <c r="A112" s="123"/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4"/>
      <c r="N112" s="123"/>
      <c r="O112" s="1"/>
    </row>
    <row r="113" spans="1:15" ht="42.75">
      <c r="A113" s="115" t="s">
        <v>36</v>
      </c>
      <c r="B113" s="116" t="s">
        <v>37</v>
      </c>
      <c r="C113" s="117" t="s">
        <v>38</v>
      </c>
      <c r="D113" s="116">
        <v>60</v>
      </c>
      <c r="E113" s="116">
        <v>80</v>
      </c>
      <c r="F113" s="116">
        <v>100</v>
      </c>
      <c r="G113" s="116">
        <v>120</v>
      </c>
      <c r="H113" s="116">
        <v>140</v>
      </c>
      <c r="I113" s="116">
        <v>160</v>
      </c>
      <c r="J113" s="117" t="s">
        <v>39</v>
      </c>
      <c r="K113" s="117" t="s">
        <v>40</v>
      </c>
      <c r="L113" s="117" t="s">
        <v>41</v>
      </c>
      <c r="M113" s="117" t="s">
        <v>42</v>
      </c>
      <c r="N113" s="117" t="s">
        <v>43</v>
      </c>
      <c r="O113" s="117" t="s">
        <v>44</v>
      </c>
    </row>
    <row r="114" spans="1:15" ht="14.25">
      <c r="A114" s="118" t="s">
        <v>158</v>
      </c>
      <c r="B114" s="31" t="s">
        <v>159</v>
      </c>
      <c r="C114" s="171" t="s">
        <v>48</v>
      </c>
      <c r="D114" s="31">
        <v>53</v>
      </c>
      <c r="E114" s="31">
        <v>52</v>
      </c>
      <c r="F114" s="31">
        <v>50</v>
      </c>
      <c r="G114" s="31">
        <v>48</v>
      </c>
      <c r="H114" s="31">
        <v>43</v>
      </c>
      <c r="I114" s="31">
        <v>39</v>
      </c>
      <c r="J114" s="31">
        <v>100</v>
      </c>
      <c r="K114" s="31">
        <v>22</v>
      </c>
      <c r="L114" s="31">
        <v>2950</v>
      </c>
      <c r="M114" s="119" t="s">
        <v>141</v>
      </c>
      <c r="N114" s="31">
        <v>72</v>
      </c>
      <c r="O114" s="34">
        <v>19414</v>
      </c>
    </row>
    <row r="115" spans="1:15" ht="14.25">
      <c r="A115" s="118" t="s">
        <v>160</v>
      </c>
      <c r="B115" s="31" t="s">
        <v>161</v>
      </c>
      <c r="C115" s="171"/>
      <c r="D115" s="31">
        <v>61</v>
      </c>
      <c r="E115" s="31">
        <v>60</v>
      </c>
      <c r="F115" s="31">
        <v>58</v>
      </c>
      <c r="G115" s="31">
        <v>56</v>
      </c>
      <c r="H115" s="31">
        <v>53</v>
      </c>
      <c r="I115" s="31">
        <v>50</v>
      </c>
      <c r="J115" s="31">
        <v>100</v>
      </c>
      <c r="K115" s="31">
        <v>30</v>
      </c>
      <c r="L115" s="31">
        <v>2960</v>
      </c>
      <c r="M115" s="119" t="s">
        <v>162</v>
      </c>
      <c r="N115" s="31">
        <v>72</v>
      </c>
      <c r="O115" s="34">
        <v>22032</v>
      </c>
    </row>
    <row r="116" spans="1:15" ht="14.25">
      <c r="A116" s="118" t="s">
        <v>163</v>
      </c>
      <c r="B116" s="31" t="s">
        <v>164</v>
      </c>
      <c r="C116" s="171"/>
      <c r="D116" s="31">
        <v>72</v>
      </c>
      <c r="E116" s="31">
        <v>70</v>
      </c>
      <c r="F116" s="31">
        <v>69</v>
      </c>
      <c r="G116" s="31">
        <v>67</v>
      </c>
      <c r="H116" s="31">
        <v>64</v>
      </c>
      <c r="I116" s="31">
        <v>60</v>
      </c>
      <c r="J116" s="31">
        <v>100</v>
      </c>
      <c r="K116" s="31">
        <v>37</v>
      </c>
      <c r="L116" s="31">
        <v>2960</v>
      </c>
      <c r="M116" s="119" t="s">
        <v>165</v>
      </c>
      <c r="N116" s="31">
        <v>72</v>
      </c>
      <c r="O116" s="34">
        <v>23987</v>
      </c>
    </row>
    <row r="117" spans="1:15" ht="42.75">
      <c r="A117" s="146" t="s">
        <v>36</v>
      </c>
      <c r="B117" s="32" t="s">
        <v>37</v>
      </c>
      <c r="C117" s="143" t="s">
        <v>38</v>
      </c>
      <c r="D117" s="143">
        <v>140</v>
      </c>
      <c r="E117" s="143">
        <v>160</v>
      </c>
      <c r="F117" s="143">
        <v>180</v>
      </c>
      <c r="G117" s="143">
        <v>200</v>
      </c>
      <c r="H117" s="143">
        <v>220</v>
      </c>
      <c r="I117" s="143">
        <v>240</v>
      </c>
      <c r="J117" s="143" t="s">
        <v>39</v>
      </c>
      <c r="K117" s="143" t="s">
        <v>40</v>
      </c>
      <c r="L117" s="143" t="s">
        <v>41</v>
      </c>
      <c r="M117" s="143" t="s">
        <v>42</v>
      </c>
      <c r="N117" s="143" t="s">
        <v>43</v>
      </c>
      <c r="O117" s="143" t="s">
        <v>44</v>
      </c>
    </row>
    <row r="118" spans="1:15" ht="28.5">
      <c r="A118" s="120" t="s">
        <v>166</v>
      </c>
      <c r="B118" s="121" t="s">
        <v>167</v>
      </c>
      <c r="C118" s="122" t="s">
        <v>48</v>
      </c>
      <c r="D118" s="121">
        <v>17</v>
      </c>
      <c r="E118" s="121">
        <v>16</v>
      </c>
      <c r="F118" s="121">
        <v>15</v>
      </c>
      <c r="G118" s="121">
        <v>14</v>
      </c>
      <c r="H118" s="121">
        <v>12</v>
      </c>
      <c r="I118" s="121">
        <v>10</v>
      </c>
      <c r="J118" s="121">
        <v>125</v>
      </c>
      <c r="K118" s="121">
        <v>11</v>
      </c>
      <c r="L118" s="121">
        <v>1460</v>
      </c>
      <c r="M118" s="122" t="s">
        <v>168</v>
      </c>
      <c r="N118" s="121">
        <v>75</v>
      </c>
      <c r="O118" s="141">
        <v>15963</v>
      </c>
    </row>
    <row r="119" spans="1:15" ht="14.25">
      <c r="A119" s="123"/>
      <c r="B119" s="123"/>
      <c r="C119" s="124"/>
      <c r="D119" s="123"/>
      <c r="E119" s="123"/>
      <c r="F119" s="123"/>
      <c r="G119" s="123"/>
      <c r="H119" s="123"/>
      <c r="I119" s="123"/>
      <c r="J119" s="123"/>
      <c r="K119" s="123"/>
      <c r="L119" s="123"/>
      <c r="M119" s="124"/>
      <c r="N119" s="123"/>
      <c r="O119" s="142"/>
    </row>
    <row r="120" spans="1:15" ht="42.75">
      <c r="A120" s="115" t="s">
        <v>36</v>
      </c>
      <c r="B120" s="116" t="s">
        <v>37</v>
      </c>
      <c r="C120" s="117" t="s">
        <v>38</v>
      </c>
      <c r="D120" s="116">
        <v>140</v>
      </c>
      <c r="E120" s="116">
        <v>160</v>
      </c>
      <c r="F120" s="116">
        <v>200</v>
      </c>
      <c r="G120" s="116">
        <v>220</v>
      </c>
      <c r="H120" s="116">
        <v>240</v>
      </c>
      <c r="I120" s="116">
        <v>260</v>
      </c>
      <c r="J120" s="117" t="s">
        <v>39</v>
      </c>
      <c r="K120" s="117" t="s">
        <v>40</v>
      </c>
      <c r="L120" s="117" t="s">
        <v>41</v>
      </c>
      <c r="M120" s="117" t="s">
        <v>42</v>
      </c>
      <c r="N120" s="117" t="s">
        <v>43</v>
      </c>
      <c r="O120" s="117" t="s">
        <v>44</v>
      </c>
    </row>
    <row r="121" spans="1:15" ht="14.25">
      <c r="A121" s="118" t="s">
        <v>169</v>
      </c>
      <c r="B121" s="31" t="s">
        <v>170</v>
      </c>
      <c r="C121" s="171" t="s">
        <v>48</v>
      </c>
      <c r="D121" s="31">
        <v>22</v>
      </c>
      <c r="E121" s="31">
        <v>20</v>
      </c>
      <c r="F121" s="31">
        <v>18</v>
      </c>
      <c r="G121" s="31">
        <v>16</v>
      </c>
      <c r="H121" s="31">
        <v>14</v>
      </c>
      <c r="I121" s="31">
        <v>12</v>
      </c>
      <c r="J121" s="31">
        <v>125</v>
      </c>
      <c r="K121" s="31">
        <v>15</v>
      </c>
      <c r="L121" s="31">
        <v>1460</v>
      </c>
      <c r="M121" s="119" t="s">
        <v>171</v>
      </c>
      <c r="N121" s="31">
        <v>80</v>
      </c>
      <c r="O121" s="34">
        <v>18054</v>
      </c>
    </row>
    <row r="122" spans="1:15" ht="14.25">
      <c r="A122" s="118" t="s">
        <v>172</v>
      </c>
      <c r="B122" s="31" t="s">
        <v>173</v>
      </c>
      <c r="C122" s="171"/>
      <c r="D122" s="31">
        <v>26</v>
      </c>
      <c r="E122" s="31">
        <v>25</v>
      </c>
      <c r="F122" s="31">
        <v>23</v>
      </c>
      <c r="G122" s="31">
        <v>22</v>
      </c>
      <c r="H122" s="31">
        <v>21</v>
      </c>
      <c r="I122" s="31">
        <v>20</v>
      </c>
      <c r="J122" s="31">
        <v>125</v>
      </c>
      <c r="K122" s="31">
        <v>18.5</v>
      </c>
      <c r="L122" s="31">
        <v>1480</v>
      </c>
      <c r="M122" s="119" t="s">
        <v>174</v>
      </c>
      <c r="N122" s="31">
        <v>82</v>
      </c>
      <c r="O122" s="34">
        <v>20774</v>
      </c>
    </row>
    <row r="123" spans="1:15" ht="42.75">
      <c r="A123" s="146" t="s">
        <v>36</v>
      </c>
      <c r="B123" s="32" t="s">
        <v>37</v>
      </c>
      <c r="C123" s="143" t="s">
        <v>38</v>
      </c>
      <c r="D123" s="143">
        <v>140</v>
      </c>
      <c r="E123" s="143">
        <v>160</v>
      </c>
      <c r="F123" s="143">
        <v>200</v>
      </c>
      <c r="G123" s="143">
        <v>240</v>
      </c>
      <c r="H123" s="143">
        <v>260</v>
      </c>
      <c r="I123" s="143">
        <v>280</v>
      </c>
      <c r="J123" s="143" t="s">
        <v>39</v>
      </c>
      <c r="K123" s="143" t="s">
        <v>40</v>
      </c>
      <c r="L123" s="143" t="s">
        <v>41</v>
      </c>
      <c r="M123" s="143" t="s">
        <v>42</v>
      </c>
      <c r="N123" s="143" t="s">
        <v>43</v>
      </c>
      <c r="O123" s="143" t="s">
        <v>44</v>
      </c>
    </row>
    <row r="124" spans="1:15" ht="14.25">
      <c r="A124" s="118" t="s">
        <v>175</v>
      </c>
      <c r="B124" s="31" t="s">
        <v>176</v>
      </c>
      <c r="C124" s="171" t="s">
        <v>48</v>
      </c>
      <c r="D124" s="31">
        <v>29</v>
      </c>
      <c r="E124" s="31">
        <v>28</v>
      </c>
      <c r="F124" s="31">
        <v>26</v>
      </c>
      <c r="G124" s="31">
        <v>23</v>
      </c>
      <c r="H124" s="31">
        <v>21</v>
      </c>
      <c r="I124" s="31">
        <v>19</v>
      </c>
      <c r="J124" s="31">
        <v>125</v>
      </c>
      <c r="K124" s="31">
        <v>22</v>
      </c>
      <c r="L124" s="31">
        <v>1480</v>
      </c>
      <c r="M124" s="119" t="s">
        <v>177</v>
      </c>
      <c r="N124" s="31">
        <v>80</v>
      </c>
      <c r="O124" s="34">
        <v>23341</v>
      </c>
    </row>
    <row r="125" spans="1:15" ht="14.25">
      <c r="A125" s="120" t="s">
        <v>178</v>
      </c>
      <c r="B125" s="121" t="s">
        <v>179</v>
      </c>
      <c r="C125" s="172"/>
      <c r="D125" s="121">
        <v>36</v>
      </c>
      <c r="E125" s="121">
        <v>35</v>
      </c>
      <c r="F125" s="121">
        <v>33</v>
      </c>
      <c r="G125" s="121">
        <v>30</v>
      </c>
      <c r="H125" s="121">
        <v>28</v>
      </c>
      <c r="I125" s="121">
        <v>26</v>
      </c>
      <c r="J125" s="121">
        <v>125</v>
      </c>
      <c r="K125" s="121">
        <v>30</v>
      </c>
      <c r="L125" s="121">
        <v>1470</v>
      </c>
      <c r="M125" s="122" t="s">
        <v>180</v>
      </c>
      <c r="N125" s="121">
        <v>82</v>
      </c>
      <c r="O125" s="141">
        <v>26129</v>
      </c>
    </row>
    <row r="126" spans="1:15" ht="14.25">
      <c r="A126" s="123"/>
      <c r="B126" s="123"/>
      <c r="C126" s="124"/>
      <c r="D126" s="123"/>
      <c r="E126" s="123"/>
      <c r="F126" s="123"/>
      <c r="G126" s="123"/>
      <c r="H126" s="123"/>
      <c r="I126" s="123"/>
      <c r="J126" s="123"/>
      <c r="K126" s="123"/>
      <c r="L126" s="123"/>
      <c r="M126" s="124"/>
      <c r="N126" s="123"/>
      <c r="O126" s="142"/>
    </row>
    <row r="127" spans="1:15" ht="42.75">
      <c r="A127" s="115" t="s">
        <v>36</v>
      </c>
      <c r="B127" s="116" t="s">
        <v>37</v>
      </c>
      <c r="C127" s="117" t="s">
        <v>38</v>
      </c>
      <c r="D127" s="116">
        <v>140</v>
      </c>
      <c r="E127" s="116">
        <v>160</v>
      </c>
      <c r="F127" s="116">
        <v>200</v>
      </c>
      <c r="G127" s="116">
        <v>240</v>
      </c>
      <c r="H127" s="116">
        <v>260</v>
      </c>
      <c r="I127" s="116">
        <v>280</v>
      </c>
      <c r="J127" s="117" t="s">
        <v>39</v>
      </c>
      <c r="K127" s="117" t="s">
        <v>40</v>
      </c>
      <c r="L127" s="117" t="s">
        <v>41</v>
      </c>
      <c r="M127" s="117" t="s">
        <v>42</v>
      </c>
      <c r="N127" s="117" t="s">
        <v>43</v>
      </c>
      <c r="O127" s="117" t="s">
        <v>44</v>
      </c>
    </row>
    <row r="128" spans="1:15" ht="14.25">
      <c r="A128" s="118" t="s">
        <v>181</v>
      </c>
      <c r="B128" s="31" t="s">
        <v>182</v>
      </c>
      <c r="C128" s="171" t="s">
        <v>48</v>
      </c>
      <c r="D128" s="31">
        <v>49</v>
      </c>
      <c r="E128" s="31">
        <v>48</v>
      </c>
      <c r="F128" s="31">
        <v>45</v>
      </c>
      <c r="G128" s="31">
        <v>41</v>
      </c>
      <c r="H128" s="31">
        <v>38</v>
      </c>
      <c r="I128" s="31">
        <v>35</v>
      </c>
      <c r="J128" s="31">
        <v>125</v>
      </c>
      <c r="K128" s="31">
        <v>37</v>
      </c>
      <c r="L128" s="31">
        <v>1480</v>
      </c>
      <c r="M128" s="119" t="s">
        <v>183</v>
      </c>
      <c r="N128" s="31">
        <v>76</v>
      </c>
      <c r="O128" s="34">
        <v>31518</v>
      </c>
    </row>
    <row r="129" spans="1:15" ht="14.25">
      <c r="A129" s="118" t="s">
        <v>184</v>
      </c>
      <c r="B129" s="31" t="s">
        <v>185</v>
      </c>
      <c r="C129" s="171"/>
      <c r="D129" s="31">
        <v>54</v>
      </c>
      <c r="E129" s="31">
        <v>53</v>
      </c>
      <c r="F129" s="31">
        <v>52</v>
      </c>
      <c r="G129" s="31">
        <v>46</v>
      </c>
      <c r="H129" s="31">
        <v>44</v>
      </c>
      <c r="I129" s="31">
        <v>37</v>
      </c>
      <c r="J129" s="31">
        <v>125</v>
      </c>
      <c r="K129" s="31">
        <v>45</v>
      </c>
      <c r="L129" s="31">
        <v>1480</v>
      </c>
      <c r="M129" s="119" t="s">
        <v>186</v>
      </c>
      <c r="N129" s="31">
        <v>78</v>
      </c>
      <c r="O129" s="34">
        <v>34187</v>
      </c>
    </row>
    <row r="130" spans="1:15" ht="28.5">
      <c r="A130" s="118" t="s">
        <v>187</v>
      </c>
      <c r="B130" s="31" t="s">
        <v>188</v>
      </c>
      <c r="C130" s="119" t="s">
        <v>48</v>
      </c>
      <c r="D130" s="31">
        <v>59</v>
      </c>
      <c r="E130" s="31">
        <v>58</v>
      </c>
      <c r="F130" s="31">
        <v>56</v>
      </c>
      <c r="G130" s="31">
        <v>50</v>
      </c>
      <c r="H130" s="31">
        <v>48</v>
      </c>
      <c r="I130" s="31">
        <v>46</v>
      </c>
      <c r="J130" s="31">
        <v>125</v>
      </c>
      <c r="K130" s="31">
        <v>55</v>
      </c>
      <c r="L130" s="31">
        <v>1480</v>
      </c>
      <c r="M130" s="119">
        <v>103</v>
      </c>
      <c r="N130" s="31">
        <v>80</v>
      </c>
      <c r="O130" s="34">
        <v>39661</v>
      </c>
    </row>
    <row r="131" spans="1:15" ht="28.5">
      <c r="A131" s="120" t="s">
        <v>189</v>
      </c>
      <c r="B131" s="121" t="s">
        <v>190</v>
      </c>
      <c r="C131" s="122" t="s">
        <v>48</v>
      </c>
      <c r="D131" s="121">
        <v>22</v>
      </c>
      <c r="E131" s="121">
        <v>21</v>
      </c>
      <c r="F131" s="121">
        <v>20</v>
      </c>
      <c r="G131" s="121">
        <v>18</v>
      </c>
      <c r="H131" s="121">
        <v>17</v>
      </c>
      <c r="I131" s="121">
        <v>13</v>
      </c>
      <c r="J131" s="121">
        <v>150</v>
      </c>
      <c r="K131" s="121">
        <v>15</v>
      </c>
      <c r="L131" s="121">
        <v>1460</v>
      </c>
      <c r="M131" s="122">
        <v>29</v>
      </c>
      <c r="N131" s="121">
        <v>81</v>
      </c>
      <c r="O131" s="141">
        <v>18496</v>
      </c>
    </row>
    <row r="132" spans="1:15" ht="14.25">
      <c r="A132" s="123"/>
      <c r="B132" s="123"/>
      <c r="C132" s="124"/>
      <c r="D132" s="123"/>
      <c r="E132" s="123"/>
      <c r="F132" s="123"/>
      <c r="G132" s="123"/>
      <c r="H132" s="123"/>
      <c r="I132" s="123"/>
      <c r="J132" s="123"/>
      <c r="K132" s="123"/>
      <c r="L132" s="123"/>
      <c r="M132" s="124"/>
      <c r="N132" s="123"/>
      <c r="O132" s="1"/>
    </row>
    <row r="133" spans="1:15" ht="42.75">
      <c r="A133" s="115" t="s">
        <v>36</v>
      </c>
      <c r="B133" s="148" t="s">
        <v>37</v>
      </c>
      <c r="C133" s="117" t="s">
        <v>38</v>
      </c>
      <c r="D133" s="148">
        <v>140</v>
      </c>
      <c r="E133" s="148">
        <v>160</v>
      </c>
      <c r="F133" s="148">
        <v>200</v>
      </c>
      <c r="G133" s="148">
        <v>240</v>
      </c>
      <c r="H133" s="148">
        <v>260</v>
      </c>
      <c r="I133" s="148">
        <v>280</v>
      </c>
      <c r="J133" s="117" t="s">
        <v>39</v>
      </c>
      <c r="K133" s="117" t="s">
        <v>40</v>
      </c>
      <c r="L133" s="117" t="s">
        <v>41</v>
      </c>
      <c r="M133" s="117" t="s">
        <v>42</v>
      </c>
      <c r="N133" s="117" t="s">
        <v>43</v>
      </c>
      <c r="O133" s="117" t="s">
        <v>44</v>
      </c>
    </row>
    <row r="134" spans="1:15" ht="14.25">
      <c r="A134" s="118" t="s">
        <v>191</v>
      </c>
      <c r="B134" s="31" t="s">
        <v>192</v>
      </c>
      <c r="C134" s="171" t="s">
        <v>48</v>
      </c>
      <c r="D134" s="31">
        <v>24</v>
      </c>
      <c r="E134" s="31">
        <v>23</v>
      </c>
      <c r="F134" s="31">
        <v>22</v>
      </c>
      <c r="G134" s="31">
        <v>20</v>
      </c>
      <c r="H134" s="31">
        <v>18</v>
      </c>
      <c r="I134" s="31">
        <v>16</v>
      </c>
      <c r="J134" s="31">
        <v>150</v>
      </c>
      <c r="K134" s="31">
        <v>18.5</v>
      </c>
      <c r="L134" s="31">
        <v>1480</v>
      </c>
      <c r="M134" s="119">
        <v>35</v>
      </c>
      <c r="N134" s="31">
        <v>82</v>
      </c>
      <c r="O134" s="31">
        <v>21199</v>
      </c>
    </row>
    <row r="135" spans="1:15" ht="14.25">
      <c r="A135" s="120" t="s">
        <v>193</v>
      </c>
      <c r="B135" s="121" t="s">
        <v>194</v>
      </c>
      <c r="C135" s="172"/>
      <c r="D135" s="121">
        <v>28</v>
      </c>
      <c r="E135" s="121">
        <v>26</v>
      </c>
      <c r="F135" s="121">
        <v>25</v>
      </c>
      <c r="G135" s="121">
        <v>23</v>
      </c>
      <c r="H135" s="121">
        <v>21</v>
      </c>
      <c r="I135" s="121">
        <v>20</v>
      </c>
      <c r="J135" s="121">
        <v>150</v>
      </c>
      <c r="K135" s="121">
        <v>22</v>
      </c>
      <c r="L135" s="121">
        <v>1470</v>
      </c>
      <c r="M135" s="122" t="s">
        <v>177</v>
      </c>
      <c r="N135" s="121">
        <v>80</v>
      </c>
      <c r="O135" s="121">
        <v>23919</v>
      </c>
    </row>
    <row r="136" spans="1:15" ht="14.25">
      <c r="A136" s="123"/>
      <c r="B136" s="1"/>
      <c r="C136" s="147"/>
      <c r="D136" s="1"/>
      <c r="E136" s="1"/>
      <c r="F136" s="1"/>
      <c r="G136" s="1"/>
      <c r="H136" s="1"/>
      <c r="I136" s="1"/>
      <c r="J136" s="1"/>
      <c r="K136" s="1"/>
      <c r="L136" s="1"/>
      <c r="M136" s="147"/>
      <c r="N136" s="1"/>
      <c r="O136" s="1"/>
    </row>
    <row r="137" spans="1:15" ht="14.25">
      <c r="A137" s="123"/>
      <c r="B137" s="1"/>
      <c r="C137" s="147"/>
      <c r="D137" s="1"/>
      <c r="E137" s="1"/>
      <c r="F137" s="1"/>
      <c r="G137" s="1"/>
      <c r="H137" s="1"/>
      <c r="I137" s="1"/>
      <c r="J137" s="1"/>
      <c r="K137" s="1"/>
      <c r="L137" s="1"/>
      <c r="M137" s="147"/>
      <c r="N137" s="1"/>
      <c r="O137" s="1"/>
    </row>
    <row r="138" spans="1:15" ht="42.75">
      <c r="A138" s="149" t="s">
        <v>36</v>
      </c>
      <c r="B138" s="116" t="s">
        <v>37</v>
      </c>
      <c r="C138" s="117" t="s">
        <v>38</v>
      </c>
      <c r="D138" s="117">
        <v>160</v>
      </c>
      <c r="E138" s="117">
        <v>200</v>
      </c>
      <c r="F138" s="117">
        <v>240</v>
      </c>
      <c r="G138" s="117">
        <v>280</v>
      </c>
      <c r="H138" s="117">
        <v>300</v>
      </c>
      <c r="I138" s="117">
        <v>320</v>
      </c>
      <c r="J138" s="117" t="s">
        <v>39</v>
      </c>
      <c r="K138" s="117" t="s">
        <v>40</v>
      </c>
      <c r="L138" s="117" t="s">
        <v>41</v>
      </c>
      <c r="M138" s="117" t="s">
        <v>42</v>
      </c>
      <c r="N138" s="117" t="s">
        <v>43</v>
      </c>
      <c r="O138" s="117" t="s">
        <v>44</v>
      </c>
    </row>
    <row r="139" spans="1:15" ht="14.25">
      <c r="A139" s="118" t="s">
        <v>195</v>
      </c>
      <c r="B139" s="31" t="s">
        <v>196</v>
      </c>
      <c r="C139" s="171" t="s">
        <v>48</v>
      </c>
      <c r="D139" s="31">
        <v>35</v>
      </c>
      <c r="E139" s="31">
        <v>34</v>
      </c>
      <c r="F139" s="31">
        <v>32</v>
      </c>
      <c r="G139" s="31">
        <v>29</v>
      </c>
      <c r="H139" s="31">
        <v>27</v>
      </c>
      <c r="I139" s="31">
        <v>25</v>
      </c>
      <c r="J139" s="31">
        <v>150</v>
      </c>
      <c r="K139" s="31">
        <v>30</v>
      </c>
      <c r="L139" s="31">
        <v>1470</v>
      </c>
      <c r="M139" s="119" t="s">
        <v>180</v>
      </c>
      <c r="N139" s="31">
        <v>82</v>
      </c>
      <c r="O139" s="31">
        <v>26707</v>
      </c>
    </row>
    <row r="140" spans="1:15" ht="14.25">
      <c r="A140" s="120" t="s">
        <v>197</v>
      </c>
      <c r="B140" s="121" t="s">
        <v>198</v>
      </c>
      <c r="C140" s="172"/>
      <c r="D140" s="121">
        <v>39</v>
      </c>
      <c r="E140" s="121">
        <v>38</v>
      </c>
      <c r="F140" s="121">
        <v>36</v>
      </c>
      <c r="G140" s="121">
        <v>34</v>
      </c>
      <c r="H140" s="121">
        <v>32</v>
      </c>
      <c r="I140" s="121">
        <v>29</v>
      </c>
      <c r="J140" s="121">
        <v>150</v>
      </c>
      <c r="K140" s="121">
        <v>37</v>
      </c>
      <c r="L140" s="121">
        <v>1480</v>
      </c>
      <c r="M140" s="122" t="s">
        <v>183</v>
      </c>
      <c r="N140" s="121">
        <v>83</v>
      </c>
      <c r="O140" s="121">
        <v>31076</v>
      </c>
    </row>
    <row r="141" spans="1:15" ht="14.25">
      <c r="A141" s="123"/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4"/>
      <c r="N141" s="123"/>
      <c r="O141" s="142"/>
    </row>
    <row r="142" spans="1:15" ht="42.75">
      <c r="A142" s="115" t="s">
        <v>36</v>
      </c>
      <c r="B142" s="116" t="s">
        <v>37</v>
      </c>
      <c r="C142" s="117" t="s">
        <v>38</v>
      </c>
      <c r="D142" s="116">
        <v>160</v>
      </c>
      <c r="E142" s="116">
        <v>200</v>
      </c>
      <c r="F142" s="116">
        <v>240</v>
      </c>
      <c r="G142" s="116">
        <v>280</v>
      </c>
      <c r="H142" s="116">
        <v>300</v>
      </c>
      <c r="I142" s="116">
        <v>320</v>
      </c>
      <c r="J142" s="117" t="s">
        <v>39</v>
      </c>
      <c r="K142" s="117" t="s">
        <v>40</v>
      </c>
      <c r="L142" s="117" t="s">
        <v>41</v>
      </c>
      <c r="M142" s="117" t="s">
        <v>42</v>
      </c>
      <c r="N142" s="117" t="s">
        <v>43</v>
      </c>
      <c r="O142" s="117" t="s">
        <v>44</v>
      </c>
    </row>
    <row r="143" spans="1:15" ht="14.25">
      <c r="A143" s="118" t="s">
        <v>199</v>
      </c>
      <c r="B143" s="129" t="s">
        <v>200</v>
      </c>
      <c r="C143" s="171" t="s">
        <v>48</v>
      </c>
      <c r="D143" s="129">
        <v>51</v>
      </c>
      <c r="E143" s="129">
        <v>50</v>
      </c>
      <c r="F143" s="129">
        <v>46</v>
      </c>
      <c r="G143" s="129">
        <v>43</v>
      </c>
      <c r="H143" s="129">
        <v>40</v>
      </c>
      <c r="I143" s="129">
        <v>36</v>
      </c>
      <c r="J143" s="129">
        <v>150</v>
      </c>
      <c r="K143" s="129">
        <v>45</v>
      </c>
      <c r="L143" s="129">
        <v>1480</v>
      </c>
      <c r="M143" s="130" t="s">
        <v>186</v>
      </c>
      <c r="N143" s="129">
        <v>81</v>
      </c>
      <c r="O143" s="34">
        <v>34748</v>
      </c>
    </row>
    <row r="144" spans="1:15" ht="14.25">
      <c r="A144" s="118" t="s">
        <v>201</v>
      </c>
      <c r="B144" s="31" t="s">
        <v>202</v>
      </c>
      <c r="C144" s="171"/>
      <c r="D144" s="31">
        <v>55</v>
      </c>
      <c r="E144" s="31">
        <v>54</v>
      </c>
      <c r="F144" s="31">
        <v>51</v>
      </c>
      <c r="G144" s="31">
        <v>49</v>
      </c>
      <c r="H144" s="31">
        <v>46</v>
      </c>
      <c r="I144" s="31">
        <v>41</v>
      </c>
      <c r="J144" s="31">
        <v>150</v>
      </c>
      <c r="K144" s="31">
        <v>55</v>
      </c>
      <c r="L144" s="31">
        <v>1480</v>
      </c>
      <c r="M144" s="119" t="s">
        <v>203</v>
      </c>
      <c r="N144" s="31">
        <v>80</v>
      </c>
      <c r="O144" s="34">
        <v>40188</v>
      </c>
    </row>
    <row r="145" spans="1:15" ht="14.25">
      <c r="A145" s="118" t="s">
        <v>204</v>
      </c>
      <c r="B145" s="31" t="s">
        <v>205</v>
      </c>
      <c r="C145" s="171"/>
      <c r="D145" s="150">
        <v>64</v>
      </c>
      <c r="E145" s="150">
        <v>62</v>
      </c>
      <c r="F145" s="150">
        <v>60</v>
      </c>
      <c r="G145" s="150">
        <v>57</v>
      </c>
      <c r="H145" s="150">
        <v>54</v>
      </c>
      <c r="I145" s="150">
        <v>50</v>
      </c>
      <c r="J145" s="150">
        <v>150</v>
      </c>
      <c r="K145" s="150">
        <v>75</v>
      </c>
      <c r="L145" s="150">
        <v>1480</v>
      </c>
      <c r="M145" s="153" t="s">
        <v>206</v>
      </c>
      <c r="N145" s="150">
        <v>83</v>
      </c>
      <c r="O145" s="154">
        <v>47090</v>
      </c>
    </row>
    <row r="146" spans="1:15" ht="42.75">
      <c r="A146" s="151" t="s">
        <v>36</v>
      </c>
      <c r="B146" s="32" t="s">
        <v>37</v>
      </c>
      <c r="C146" s="143" t="s">
        <v>38</v>
      </c>
      <c r="D146" s="143">
        <v>200</v>
      </c>
      <c r="E146" s="143">
        <v>250</v>
      </c>
      <c r="F146" s="143">
        <v>300</v>
      </c>
      <c r="G146" s="143">
        <v>350</v>
      </c>
      <c r="H146" s="143">
        <v>380</v>
      </c>
      <c r="I146" s="143">
        <v>400</v>
      </c>
      <c r="J146" s="143" t="s">
        <v>39</v>
      </c>
      <c r="K146" s="143" t="s">
        <v>40</v>
      </c>
      <c r="L146" s="143" t="s">
        <v>41</v>
      </c>
      <c r="M146" s="143" t="s">
        <v>42</v>
      </c>
      <c r="N146" s="143" t="s">
        <v>43</v>
      </c>
      <c r="O146" s="143" t="s">
        <v>44</v>
      </c>
    </row>
    <row r="147" spans="1:15" ht="28.5">
      <c r="A147" s="120" t="s">
        <v>207</v>
      </c>
      <c r="B147" s="121" t="s">
        <v>208</v>
      </c>
      <c r="C147" s="122" t="s">
        <v>48</v>
      </c>
      <c r="D147" s="121">
        <v>20</v>
      </c>
      <c r="E147" s="121">
        <v>19</v>
      </c>
      <c r="F147" s="121">
        <v>17</v>
      </c>
      <c r="G147" s="121">
        <v>16</v>
      </c>
      <c r="H147" s="121">
        <v>15</v>
      </c>
      <c r="I147" s="121">
        <v>13</v>
      </c>
      <c r="J147" s="121">
        <v>200</v>
      </c>
      <c r="K147" s="121">
        <v>18.5</v>
      </c>
      <c r="L147" s="121">
        <v>1480</v>
      </c>
      <c r="M147" s="122" t="s">
        <v>174</v>
      </c>
      <c r="N147" s="121">
        <v>82</v>
      </c>
      <c r="O147" s="141">
        <v>23477</v>
      </c>
    </row>
    <row r="148" spans="1:15" ht="14.25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42"/>
    </row>
    <row r="149" spans="1:15" ht="42.75">
      <c r="A149" s="115" t="s">
        <v>36</v>
      </c>
      <c r="B149" s="116" t="s">
        <v>37</v>
      </c>
      <c r="C149" s="117" t="s">
        <v>38</v>
      </c>
      <c r="D149" s="116">
        <v>200</v>
      </c>
      <c r="E149" s="116">
        <v>250</v>
      </c>
      <c r="F149" s="116">
        <v>300</v>
      </c>
      <c r="G149" s="116">
        <v>350</v>
      </c>
      <c r="H149" s="116">
        <v>380</v>
      </c>
      <c r="I149" s="116">
        <v>400</v>
      </c>
      <c r="J149" s="117" t="s">
        <v>39</v>
      </c>
      <c r="K149" s="117" t="s">
        <v>40</v>
      </c>
      <c r="L149" s="117" t="s">
        <v>41</v>
      </c>
      <c r="M149" s="117" t="s">
        <v>42</v>
      </c>
      <c r="N149" s="117" t="s">
        <v>43</v>
      </c>
      <c r="O149" s="117" t="s">
        <v>44</v>
      </c>
    </row>
    <row r="150" spans="1:15" ht="14.25">
      <c r="A150" s="118" t="s">
        <v>209</v>
      </c>
      <c r="B150" s="31" t="s">
        <v>210</v>
      </c>
      <c r="C150" s="171" t="s">
        <v>48</v>
      </c>
      <c r="D150" s="31">
        <v>23</v>
      </c>
      <c r="E150" s="31">
        <v>22</v>
      </c>
      <c r="F150" s="31">
        <v>21</v>
      </c>
      <c r="G150" s="31">
        <v>19</v>
      </c>
      <c r="H150" s="31">
        <v>18</v>
      </c>
      <c r="I150" s="31">
        <v>16</v>
      </c>
      <c r="J150" s="31">
        <v>200</v>
      </c>
      <c r="K150" s="31">
        <v>22</v>
      </c>
      <c r="L150" s="31">
        <v>1470</v>
      </c>
      <c r="M150" s="119" t="s">
        <v>177</v>
      </c>
      <c r="N150" s="31">
        <v>83</v>
      </c>
      <c r="O150" s="34">
        <v>25075</v>
      </c>
    </row>
    <row r="151" spans="1:15" ht="14.25">
      <c r="A151" s="118" t="s">
        <v>211</v>
      </c>
      <c r="B151" s="31" t="s">
        <v>212</v>
      </c>
      <c r="C151" s="171"/>
      <c r="D151" s="31">
        <v>26</v>
      </c>
      <c r="E151" s="31">
        <v>25</v>
      </c>
      <c r="F151" s="31">
        <v>24</v>
      </c>
      <c r="G151" s="31">
        <v>22</v>
      </c>
      <c r="H151" s="31">
        <v>21</v>
      </c>
      <c r="I151" s="31">
        <v>19</v>
      </c>
      <c r="J151" s="31">
        <v>200</v>
      </c>
      <c r="K151" s="31">
        <v>30</v>
      </c>
      <c r="L151" s="31">
        <v>1470</v>
      </c>
      <c r="M151" s="119" t="s">
        <v>180</v>
      </c>
      <c r="N151" s="31">
        <v>84</v>
      </c>
      <c r="O151" s="34">
        <v>27897</v>
      </c>
    </row>
    <row r="152" spans="1:15" ht="42.75">
      <c r="A152" s="146" t="s">
        <v>36</v>
      </c>
      <c r="B152" s="32" t="s">
        <v>37</v>
      </c>
      <c r="C152" s="143" t="s">
        <v>38</v>
      </c>
      <c r="D152" s="32">
        <v>250</v>
      </c>
      <c r="E152" s="32">
        <v>300</v>
      </c>
      <c r="F152" s="32">
        <v>350</v>
      </c>
      <c r="G152" s="32">
        <v>400</v>
      </c>
      <c r="H152" s="32">
        <v>450</v>
      </c>
      <c r="I152" s="32">
        <v>500</v>
      </c>
      <c r="J152" s="143" t="s">
        <v>39</v>
      </c>
      <c r="K152" s="143" t="s">
        <v>40</v>
      </c>
      <c r="L152" s="143" t="s">
        <v>41</v>
      </c>
      <c r="M152" s="143" t="s">
        <v>42</v>
      </c>
      <c r="N152" s="143" t="s">
        <v>43</v>
      </c>
      <c r="O152" s="143" t="s">
        <v>44</v>
      </c>
    </row>
    <row r="153" spans="1:15" ht="14.25">
      <c r="A153" s="118" t="s">
        <v>213</v>
      </c>
      <c r="B153" s="31" t="s">
        <v>214</v>
      </c>
      <c r="C153" s="171" t="s">
        <v>48</v>
      </c>
      <c r="D153" s="31">
        <v>29</v>
      </c>
      <c r="E153" s="31">
        <v>28</v>
      </c>
      <c r="F153" s="31">
        <v>27</v>
      </c>
      <c r="G153" s="31">
        <v>26</v>
      </c>
      <c r="H153" s="31">
        <v>25</v>
      </c>
      <c r="I153" s="31">
        <v>22</v>
      </c>
      <c r="J153" s="31">
        <v>200</v>
      </c>
      <c r="K153" s="31">
        <v>37</v>
      </c>
      <c r="L153" s="31">
        <v>1480</v>
      </c>
      <c r="M153" s="119">
        <v>70</v>
      </c>
      <c r="N153" s="31">
        <v>81</v>
      </c>
      <c r="O153" s="34">
        <v>33507</v>
      </c>
    </row>
    <row r="154" spans="1:15" ht="14.25">
      <c r="A154" s="120" t="s">
        <v>215</v>
      </c>
      <c r="B154" s="121" t="s">
        <v>216</v>
      </c>
      <c r="C154" s="172"/>
      <c r="D154" s="121">
        <v>33</v>
      </c>
      <c r="E154" s="121">
        <v>32</v>
      </c>
      <c r="F154" s="121">
        <v>31</v>
      </c>
      <c r="G154" s="121">
        <v>30</v>
      </c>
      <c r="H154" s="121">
        <v>28</v>
      </c>
      <c r="I154" s="121">
        <v>26</v>
      </c>
      <c r="J154" s="121">
        <v>200</v>
      </c>
      <c r="K154" s="121">
        <v>45</v>
      </c>
      <c r="L154" s="121">
        <v>1480</v>
      </c>
      <c r="M154" s="122">
        <v>84</v>
      </c>
      <c r="N154" s="121">
        <v>82</v>
      </c>
      <c r="O154" s="141">
        <v>36176</v>
      </c>
    </row>
    <row r="155" spans="1:15" ht="14.25">
      <c r="A155" s="123"/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4"/>
      <c r="N155" s="123"/>
      <c r="O155" s="142"/>
    </row>
    <row r="156" spans="1:15" ht="42.75">
      <c r="A156" s="115" t="s">
        <v>36</v>
      </c>
      <c r="B156" s="116" t="s">
        <v>37</v>
      </c>
      <c r="C156" s="117" t="s">
        <v>38</v>
      </c>
      <c r="D156" s="116">
        <v>300</v>
      </c>
      <c r="E156" s="116">
        <v>350</v>
      </c>
      <c r="F156" s="116">
        <v>400</v>
      </c>
      <c r="G156" s="116">
        <v>450</v>
      </c>
      <c r="H156" s="116">
        <v>500</v>
      </c>
      <c r="I156" s="116">
        <v>550</v>
      </c>
      <c r="J156" s="117" t="s">
        <v>39</v>
      </c>
      <c r="K156" s="117" t="s">
        <v>40</v>
      </c>
      <c r="L156" s="117" t="s">
        <v>41</v>
      </c>
      <c r="M156" s="117" t="s">
        <v>42</v>
      </c>
      <c r="N156" s="117" t="s">
        <v>43</v>
      </c>
      <c r="O156" s="117" t="s">
        <v>44</v>
      </c>
    </row>
    <row r="157" spans="1:15" ht="28.5">
      <c r="A157" s="118" t="s">
        <v>217</v>
      </c>
      <c r="B157" s="31" t="s">
        <v>218</v>
      </c>
      <c r="C157" s="119" t="s">
        <v>48</v>
      </c>
      <c r="D157" s="31">
        <v>37</v>
      </c>
      <c r="E157" s="31">
        <v>36</v>
      </c>
      <c r="F157" s="31">
        <v>34</v>
      </c>
      <c r="G157" s="31">
        <v>33</v>
      </c>
      <c r="H157" s="31">
        <v>30</v>
      </c>
      <c r="I157" s="31">
        <v>28</v>
      </c>
      <c r="J157" s="31">
        <v>200</v>
      </c>
      <c r="K157" s="31">
        <v>55</v>
      </c>
      <c r="L157" s="31">
        <v>1480</v>
      </c>
      <c r="M157" s="31">
        <v>103</v>
      </c>
      <c r="N157" s="31">
        <v>83</v>
      </c>
      <c r="O157" s="34">
        <v>41650</v>
      </c>
    </row>
    <row r="158" spans="1:15" ht="42.75">
      <c r="A158" s="146" t="s">
        <v>36</v>
      </c>
      <c r="B158" s="32" t="s">
        <v>37</v>
      </c>
      <c r="C158" s="143" t="s">
        <v>38</v>
      </c>
      <c r="D158" s="32">
        <v>350</v>
      </c>
      <c r="E158" s="32">
        <v>400</v>
      </c>
      <c r="F158" s="32">
        <v>450</v>
      </c>
      <c r="G158" s="32">
        <v>500</v>
      </c>
      <c r="H158" s="32">
        <v>550</v>
      </c>
      <c r="I158" s="32">
        <v>600</v>
      </c>
      <c r="J158" s="143" t="s">
        <v>39</v>
      </c>
      <c r="K158" s="143" t="s">
        <v>40</v>
      </c>
      <c r="L158" s="143" t="s">
        <v>41</v>
      </c>
      <c r="M158" s="143" t="s">
        <v>42</v>
      </c>
      <c r="N158" s="143" t="s">
        <v>43</v>
      </c>
      <c r="O158" s="143" t="s">
        <v>44</v>
      </c>
    </row>
    <row r="159" spans="1:15" ht="14.25">
      <c r="A159" s="118" t="s">
        <v>219</v>
      </c>
      <c r="B159" s="31" t="s">
        <v>220</v>
      </c>
      <c r="C159" s="171" t="s">
        <v>48</v>
      </c>
      <c r="D159" s="31">
        <v>42</v>
      </c>
      <c r="E159" s="31">
        <v>41</v>
      </c>
      <c r="F159" s="31">
        <v>39</v>
      </c>
      <c r="G159" s="31">
        <v>35</v>
      </c>
      <c r="H159" s="31">
        <v>33</v>
      </c>
      <c r="I159" s="31">
        <v>30</v>
      </c>
      <c r="J159" s="31">
        <v>200</v>
      </c>
      <c r="K159" s="31">
        <v>75</v>
      </c>
      <c r="L159" s="31">
        <v>1480</v>
      </c>
      <c r="M159" s="119">
        <v>136</v>
      </c>
      <c r="N159" s="31">
        <v>80</v>
      </c>
      <c r="O159" s="34">
        <v>50116</v>
      </c>
    </row>
    <row r="160" spans="1:15" ht="14.25">
      <c r="A160" s="118" t="s">
        <v>221</v>
      </c>
      <c r="B160" s="31" t="s">
        <v>222</v>
      </c>
      <c r="C160" s="171"/>
      <c r="D160" s="31">
        <v>54</v>
      </c>
      <c r="E160" s="31">
        <v>50</v>
      </c>
      <c r="F160" s="31">
        <v>44</v>
      </c>
      <c r="G160" s="31">
        <v>42</v>
      </c>
      <c r="H160" s="31">
        <v>38</v>
      </c>
      <c r="I160" s="31">
        <v>36</v>
      </c>
      <c r="J160" s="31">
        <v>200</v>
      </c>
      <c r="K160" s="31">
        <v>90</v>
      </c>
      <c r="L160" s="31">
        <v>1480</v>
      </c>
      <c r="M160" s="119">
        <v>162</v>
      </c>
      <c r="N160" s="31">
        <v>82</v>
      </c>
      <c r="O160" s="34">
        <v>55080</v>
      </c>
    </row>
    <row r="161" spans="1:15" ht="14.25">
      <c r="A161" s="120" t="s">
        <v>223</v>
      </c>
      <c r="B161" s="121" t="s">
        <v>224</v>
      </c>
      <c r="C161" s="172"/>
      <c r="D161" s="121">
        <v>62</v>
      </c>
      <c r="E161" s="121">
        <v>59</v>
      </c>
      <c r="F161" s="121">
        <v>55</v>
      </c>
      <c r="G161" s="121">
        <v>51</v>
      </c>
      <c r="H161" s="121">
        <v>46</v>
      </c>
      <c r="I161" s="121">
        <v>44</v>
      </c>
      <c r="J161" s="121">
        <v>200</v>
      </c>
      <c r="K161" s="121">
        <v>110</v>
      </c>
      <c r="L161" s="121">
        <v>1480</v>
      </c>
      <c r="M161" s="122">
        <v>202</v>
      </c>
      <c r="N161" s="121">
        <v>84</v>
      </c>
      <c r="O161" s="141">
        <v>78336</v>
      </c>
    </row>
    <row r="162" spans="1:15" ht="14.25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"/>
    </row>
    <row r="163" spans="1:15" ht="42.75">
      <c r="A163" s="115" t="s">
        <v>36</v>
      </c>
      <c r="B163" s="116" t="s">
        <v>37</v>
      </c>
      <c r="C163" s="117" t="s">
        <v>38</v>
      </c>
      <c r="D163" s="116">
        <v>300</v>
      </c>
      <c r="E163" s="116">
        <v>400</v>
      </c>
      <c r="F163" s="116">
        <v>500</v>
      </c>
      <c r="G163" s="116">
        <v>600</v>
      </c>
      <c r="H163" s="116">
        <v>650</v>
      </c>
      <c r="I163" s="116">
        <v>700</v>
      </c>
      <c r="J163" s="117" t="s">
        <v>39</v>
      </c>
      <c r="K163" s="117" t="s">
        <v>40</v>
      </c>
      <c r="L163" s="117" t="s">
        <v>41</v>
      </c>
      <c r="M163" s="117" t="s">
        <v>42</v>
      </c>
      <c r="N163" s="117" t="s">
        <v>43</v>
      </c>
      <c r="O163" s="117" t="s">
        <v>44</v>
      </c>
    </row>
    <row r="164" spans="1:15" ht="14.25">
      <c r="A164" s="118" t="s">
        <v>225</v>
      </c>
      <c r="B164" s="31" t="s">
        <v>226</v>
      </c>
      <c r="C164" s="171" t="s">
        <v>48</v>
      </c>
      <c r="D164" s="31">
        <v>22</v>
      </c>
      <c r="E164" s="31">
        <v>20</v>
      </c>
      <c r="F164" s="31">
        <v>18</v>
      </c>
      <c r="G164" s="31">
        <v>16</v>
      </c>
      <c r="H164" s="31">
        <v>14</v>
      </c>
      <c r="I164" s="31">
        <v>10</v>
      </c>
      <c r="J164" s="31">
        <v>250</v>
      </c>
      <c r="K164" s="31">
        <v>37</v>
      </c>
      <c r="L164" s="31">
        <v>1480</v>
      </c>
      <c r="M164" s="119" t="s">
        <v>183</v>
      </c>
      <c r="N164" s="31">
        <v>80</v>
      </c>
      <c r="O164" s="31">
        <v>38165</v>
      </c>
    </row>
    <row r="165" spans="1:15" ht="14.25">
      <c r="A165" s="118" t="s">
        <v>227</v>
      </c>
      <c r="B165" s="31" t="s">
        <v>228</v>
      </c>
      <c r="C165" s="171"/>
      <c r="D165" s="31">
        <v>28</v>
      </c>
      <c r="E165" s="31">
        <v>26</v>
      </c>
      <c r="F165" s="31">
        <v>24</v>
      </c>
      <c r="G165" s="31">
        <v>22</v>
      </c>
      <c r="H165" s="31">
        <v>20</v>
      </c>
      <c r="I165" s="31">
        <v>18</v>
      </c>
      <c r="J165" s="31">
        <v>250</v>
      </c>
      <c r="K165" s="31">
        <v>45</v>
      </c>
      <c r="L165" s="32">
        <v>1480</v>
      </c>
      <c r="M165" s="143" t="s">
        <v>186</v>
      </c>
      <c r="N165" s="32">
        <v>81</v>
      </c>
      <c r="O165" s="31">
        <v>40800</v>
      </c>
    </row>
    <row r="166" spans="1:15" ht="42.75">
      <c r="A166" s="146" t="s">
        <v>36</v>
      </c>
      <c r="B166" s="32" t="s">
        <v>37</v>
      </c>
      <c r="C166" s="143" t="s">
        <v>38</v>
      </c>
      <c r="D166" s="32">
        <v>400</v>
      </c>
      <c r="E166" s="32">
        <v>500</v>
      </c>
      <c r="F166" s="32">
        <v>600</v>
      </c>
      <c r="G166" s="32">
        <v>700</v>
      </c>
      <c r="H166" s="32">
        <v>750</v>
      </c>
      <c r="I166" s="32">
        <v>800</v>
      </c>
      <c r="J166" s="155" t="s">
        <v>39</v>
      </c>
      <c r="K166" s="143" t="s">
        <v>40</v>
      </c>
      <c r="L166" s="143" t="s">
        <v>41</v>
      </c>
      <c r="M166" s="143" t="s">
        <v>42</v>
      </c>
      <c r="N166" s="143" t="s">
        <v>43</v>
      </c>
      <c r="O166" s="143" t="s">
        <v>44</v>
      </c>
    </row>
    <row r="167" spans="1:15" ht="14.25">
      <c r="A167" s="118" t="s">
        <v>229</v>
      </c>
      <c r="B167" s="31" t="s">
        <v>230</v>
      </c>
      <c r="C167" s="171" t="s">
        <v>48</v>
      </c>
      <c r="D167" s="31">
        <v>32</v>
      </c>
      <c r="E167" s="31">
        <v>30</v>
      </c>
      <c r="F167" s="31">
        <v>28</v>
      </c>
      <c r="G167" s="31">
        <v>26</v>
      </c>
      <c r="H167" s="31">
        <v>24</v>
      </c>
      <c r="I167" s="31">
        <v>20</v>
      </c>
      <c r="J167" s="31">
        <v>250</v>
      </c>
      <c r="K167" s="31">
        <v>55</v>
      </c>
      <c r="L167" s="31">
        <v>1480</v>
      </c>
      <c r="M167" s="119" t="s">
        <v>203</v>
      </c>
      <c r="N167" s="31">
        <v>82</v>
      </c>
      <c r="O167" s="31">
        <v>46053</v>
      </c>
    </row>
    <row r="168" spans="1:15" ht="14.25">
      <c r="A168" s="120" t="s">
        <v>231</v>
      </c>
      <c r="B168" s="121" t="s">
        <v>232</v>
      </c>
      <c r="C168" s="172"/>
      <c r="D168" s="121">
        <v>36</v>
      </c>
      <c r="E168" s="121">
        <v>34</v>
      </c>
      <c r="F168" s="121">
        <v>32</v>
      </c>
      <c r="G168" s="121">
        <v>30</v>
      </c>
      <c r="H168" s="121">
        <v>28</v>
      </c>
      <c r="I168" s="121">
        <v>24</v>
      </c>
      <c r="J168" s="121">
        <v>250</v>
      </c>
      <c r="K168" s="121">
        <v>75</v>
      </c>
      <c r="L168" s="121">
        <v>1480</v>
      </c>
      <c r="M168" s="122">
        <v>136</v>
      </c>
      <c r="N168" s="121">
        <v>84</v>
      </c>
      <c r="O168" s="121">
        <v>52921</v>
      </c>
    </row>
    <row r="169" spans="1:15">
      <c r="A169" s="175" t="s">
        <v>233</v>
      </c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</row>
  </sheetData>
  <sheetProtection algorithmName="SHA-512" hashValue="EcFIJRNEBtPTa8ittzxJXWN1+TjQUI0R1qUbUmu2oB3XsvB2h4rwVbmHKJEmVlgLGYzSTTbBwTsZU9i1QisrmA==" saltValue="YAaDj2zLCV9VEVkgAJY7xw==" spinCount="100000" sheet="1" formatCells="0"/>
  <protectedRanges>
    <protectedRange sqref="Q5:Q10" name="区域8"/>
    <protectedRange sqref="J20:J30 J5:J15" name="区域6"/>
    <protectedRange sqref="J20:J30 J5:J15" name="区域3"/>
    <protectedRange sqref="B14:C15 B29:C30" name="区域2"/>
    <protectedRange sqref="D5:D15 D20:D30" name="区域1"/>
  </protectedRanges>
  <sortState xmlns:xlrd2="http://schemas.microsoft.com/office/spreadsheetml/2017/richdata2" ref="B5:E8">
    <sortCondition ref="B5:B8"/>
  </sortState>
  <mergeCells count="64">
    <mergeCell ref="L3:L14"/>
    <mergeCell ref="J31:K31"/>
    <mergeCell ref="M3:M10"/>
    <mergeCell ref="Q32:R32"/>
    <mergeCell ref="A35:O35"/>
    <mergeCell ref="B16:C16"/>
    <mergeCell ref="H16:I16"/>
    <mergeCell ref="J16:K16"/>
    <mergeCell ref="B18:E18"/>
    <mergeCell ref="H18:K18"/>
    <mergeCell ref="L18:L29"/>
    <mergeCell ref="M15:S16"/>
    <mergeCell ref="A18:A30"/>
    <mergeCell ref="C94:C95"/>
    <mergeCell ref="B31:C31"/>
    <mergeCell ref="H31:I31"/>
    <mergeCell ref="C64:C65"/>
    <mergeCell ref="C68:C71"/>
    <mergeCell ref="C74:C75"/>
    <mergeCell ref="C77:C78"/>
    <mergeCell ref="C81:C84"/>
    <mergeCell ref="C37:C40"/>
    <mergeCell ref="C43:C46"/>
    <mergeCell ref="C49:C52"/>
    <mergeCell ref="C55:C58"/>
    <mergeCell ref="C61:C62"/>
    <mergeCell ref="A169:O169"/>
    <mergeCell ref="C167:C168"/>
    <mergeCell ref="C150:C151"/>
    <mergeCell ref="C153:C154"/>
    <mergeCell ref="C159:C161"/>
    <mergeCell ref="C164:C165"/>
    <mergeCell ref="F18:F29"/>
    <mergeCell ref="G3:G15"/>
    <mergeCell ref="G18:G30"/>
    <mergeCell ref="C143:C145"/>
    <mergeCell ref="C121:C122"/>
    <mergeCell ref="C124:C125"/>
    <mergeCell ref="C128:C129"/>
    <mergeCell ref="C134:C135"/>
    <mergeCell ref="C139:C140"/>
    <mergeCell ref="C97:C98"/>
    <mergeCell ref="C101:C104"/>
    <mergeCell ref="C107:C108"/>
    <mergeCell ref="C110:C111"/>
    <mergeCell ref="C114:C116"/>
    <mergeCell ref="C87:C88"/>
    <mergeCell ref="C90:C91"/>
    <mergeCell ref="A1:L1"/>
    <mergeCell ref="A2:L2"/>
    <mergeCell ref="M1:Q1"/>
    <mergeCell ref="R1:Z1"/>
    <mergeCell ref="A3:A15"/>
    <mergeCell ref="N12:P12"/>
    <mergeCell ref="Q12:S12"/>
    <mergeCell ref="N13:P13"/>
    <mergeCell ref="Q13:S13"/>
    <mergeCell ref="M14:S14"/>
    <mergeCell ref="B3:E3"/>
    <mergeCell ref="H3:K3"/>
    <mergeCell ref="F3:F14"/>
    <mergeCell ref="N3:S3"/>
    <mergeCell ref="N11:P11"/>
    <mergeCell ref="Q11:S11"/>
  </mergeCells>
  <phoneticPr fontId="49" type="noConversion"/>
  <pageMargins left="0.7" right="0.7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>
      <selection activeCell="D13" sqref="D13"/>
    </sheetView>
  </sheetViews>
  <sheetFormatPr defaultColWidth="9" defaultRowHeight="13.5"/>
  <sheetData>
    <row r="1" spans="1:17" ht="26.25">
      <c r="A1" s="225" t="s">
        <v>234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104"/>
      <c r="N1" s="104"/>
      <c r="O1" s="104"/>
      <c r="P1" s="104"/>
      <c r="Q1" s="104"/>
    </row>
    <row r="2" spans="1:17" ht="14.25">
      <c r="A2" s="226" t="s">
        <v>235</v>
      </c>
      <c r="B2" s="227"/>
      <c r="C2" s="216" t="s">
        <v>236</v>
      </c>
      <c r="D2" s="217"/>
      <c r="E2" s="226" t="s">
        <v>237</v>
      </c>
      <c r="F2" s="227"/>
      <c r="G2" s="228" t="s">
        <v>238</v>
      </c>
      <c r="H2" s="229"/>
      <c r="I2" s="216" t="s">
        <v>239</v>
      </c>
      <c r="J2" s="217"/>
      <c r="K2" s="230" t="s">
        <v>240</v>
      </c>
      <c r="L2" s="231"/>
      <c r="M2" s="105" t="s">
        <v>241</v>
      </c>
      <c r="N2" s="105" t="s">
        <v>242</v>
      </c>
      <c r="O2" s="105" t="s">
        <v>243</v>
      </c>
      <c r="P2" s="105"/>
      <c r="Q2" s="108"/>
    </row>
    <row r="3" spans="1:17" ht="14.25">
      <c r="A3" s="98" t="s">
        <v>244</v>
      </c>
      <c r="B3" s="99" t="s">
        <v>245</v>
      </c>
      <c r="C3" s="100" t="s">
        <v>244</v>
      </c>
      <c r="D3" s="100" t="s">
        <v>245</v>
      </c>
      <c r="E3" s="99" t="s">
        <v>244</v>
      </c>
      <c r="F3" s="99" t="s">
        <v>245</v>
      </c>
      <c r="G3" s="101" t="s">
        <v>244</v>
      </c>
      <c r="H3" s="101" t="s">
        <v>245</v>
      </c>
      <c r="I3" s="216" t="s">
        <v>245</v>
      </c>
      <c r="J3" s="217"/>
      <c r="K3" s="106" t="s">
        <v>244</v>
      </c>
      <c r="L3" s="106" t="s">
        <v>245</v>
      </c>
      <c r="M3" s="104">
        <v>16.5</v>
      </c>
      <c r="N3" s="104">
        <f>M3*H4</f>
        <v>20.79</v>
      </c>
      <c r="O3" s="104">
        <f>N3/6</f>
        <v>3.4649999999999999</v>
      </c>
      <c r="P3" s="104"/>
      <c r="Q3" s="109"/>
    </row>
    <row r="4" spans="1:17" ht="24">
      <c r="A4" s="98" t="s">
        <v>246</v>
      </c>
      <c r="B4" s="99">
        <v>0.88900000000000001</v>
      </c>
      <c r="C4" s="100" t="s">
        <v>247</v>
      </c>
      <c r="D4" s="100">
        <v>5.4379999999999997</v>
      </c>
      <c r="E4" s="99" t="s">
        <v>248</v>
      </c>
      <c r="F4" s="99">
        <v>11.260999999999999</v>
      </c>
      <c r="G4" s="101" t="s">
        <v>249</v>
      </c>
      <c r="H4" s="101">
        <v>1.26</v>
      </c>
      <c r="I4" s="216">
        <v>1.33</v>
      </c>
      <c r="J4" s="217"/>
      <c r="K4" s="106" t="s">
        <v>250</v>
      </c>
      <c r="L4" s="106">
        <v>0.39500000000000002</v>
      </c>
      <c r="M4" s="104">
        <v>16.5</v>
      </c>
      <c r="N4" s="104">
        <f t="shared" ref="N4:N13" si="0">M4*H5</f>
        <v>26.895</v>
      </c>
      <c r="O4" s="104">
        <f t="shared" ref="O4:O13" si="1">N4/6</f>
        <v>4.4824999999999999</v>
      </c>
      <c r="P4" s="104"/>
      <c r="Q4" s="109"/>
    </row>
    <row r="5" spans="1:17" ht="24">
      <c r="A5" s="98" t="s">
        <v>251</v>
      </c>
      <c r="B5" s="99">
        <v>1.1240000000000001</v>
      </c>
      <c r="C5" s="100" t="s">
        <v>252</v>
      </c>
      <c r="D5" s="100">
        <v>6.6340000000000003</v>
      </c>
      <c r="E5" s="99" t="s">
        <v>253</v>
      </c>
      <c r="F5" s="99">
        <v>13.987</v>
      </c>
      <c r="G5" s="101" t="s">
        <v>254</v>
      </c>
      <c r="H5" s="101">
        <v>1.63</v>
      </c>
      <c r="I5" s="216">
        <v>1.73</v>
      </c>
      <c r="J5" s="217"/>
      <c r="K5" s="106" t="s">
        <v>255</v>
      </c>
      <c r="L5" s="106">
        <v>0.61699999999999999</v>
      </c>
      <c r="M5" s="104">
        <v>16.5</v>
      </c>
      <c r="N5" s="104">
        <f t="shared" si="0"/>
        <v>39.93</v>
      </c>
      <c r="O5" s="104">
        <f t="shared" si="1"/>
        <v>6.6550000000000002</v>
      </c>
      <c r="P5" s="104"/>
      <c r="Q5" s="109"/>
    </row>
    <row r="6" spans="1:17" ht="24">
      <c r="A6" s="98" t="s">
        <v>256</v>
      </c>
      <c r="B6" s="99">
        <v>1.373</v>
      </c>
      <c r="C6" s="100" t="s">
        <v>257</v>
      </c>
      <c r="D6" s="100">
        <v>6.7089999999999996</v>
      </c>
      <c r="E6" s="99" t="s">
        <v>258</v>
      </c>
      <c r="F6" s="99">
        <v>14.223000000000001</v>
      </c>
      <c r="G6" s="101" t="s">
        <v>259</v>
      </c>
      <c r="H6" s="101">
        <v>2.42</v>
      </c>
      <c r="I6" s="216">
        <v>2.57</v>
      </c>
      <c r="J6" s="217"/>
      <c r="K6" s="106" t="s">
        <v>260</v>
      </c>
      <c r="L6" s="106">
        <v>0.88800000000000001</v>
      </c>
      <c r="M6" s="104">
        <v>16.5</v>
      </c>
      <c r="N6" s="104">
        <f t="shared" si="0"/>
        <v>51.48</v>
      </c>
      <c r="O6" s="104">
        <f t="shared" si="1"/>
        <v>8.58</v>
      </c>
      <c r="P6" s="104"/>
      <c r="Q6" s="109"/>
    </row>
    <row r="7" spans="1:17" ht="24">
      <c r="A7" s="98" t="s">
        <v>261</v>
      </c>
      <c r="B7" s="99">
        <v>2.4220000000000002</v>
      </c>
      <c r="C7" s="100" t="s">
        <v>262</v>
      </c>
      <c r="D7" s="100">
        <v>8.0459999999999994</v>
      </c>
      <c r="E7" s="99" t="s">
        <v>263</v>
      </c>
      <c r="F7" s="99">
        <v>16.89</v>
      </c>
      <c r="G7" s="101" t="s">
        <v>264</v>
      </c>
      <c r="H7" s="101">
        <v>3.12</v>
      </c>
      <c r="I7" s="216">
        <v>3.32</v>
      </c>
      <c r="J7" s="217"/>
      <c r="K7" s="106" t="s">
        <v>265</v>
      </c>
      <c r="L7" s="106">
        <v>1.21</v>
      </c>
      <c r="M7" s="104">
        <v>16.5</v>
      </c>
      <c r="N7" s="104">
        <f t="shared" si="0"/>
        <v>63.36</v>
      </c>
      <c r="O7" s="104">
        <f t="shared" si="1"/>
        <v>10.56</v>
      </c>
      <c r="P7" s="104"/>
      <c r="Q7" s="109"/>
    </row>
    <row r="8" spans="1:17" ht="24">
      <c r="A8" s="98" t="s">
        <v>266</v>
      </c>
      <c r="B8" s="99">
        <v>3.77</v>
      </c>
      <c r="C8" s="100" t="s">
        <v>248</v>
      </c>
      <c r="D8" s="100">
        <v>10.007</v>
      </c>
      <c r="E8" s="99" t="s">
        <v>267</v>
      </c>
      <c r="F8" s="99">
        <v>20.513000000000002</v>
      </c>
      <c r="G8" s="101" t="s">
        <v>268</v>
      </c>
      <c r="H8" s="101">
        <v>3.84</v>
      </c>
      <c r="I8" s="216">
        <v>4.07</v>
      </c>
      <c r="J8" s="217"/>
      <c r="K8" s="106" t="s">
        <v>269</v>
      </c>
      <c r="L8" s="106">
        <v>1.58</v>
      </c>
      <c r="M8" s="104">
        <v>16.5</v>
      </c>
      <c r="N8" s="104">
        <f t="shared" si="0"/>
        <v>80.52</v>
      </c>
      <c r="O8" s="104">
        <f t="shared" si="1"/>
        <v>13.42</v>
      </c>
      <c r="P8" s="104"/>
      <c r="Q8" s="109"/>
    </row>
    <row r="9" spans="1:17" ht="24">
      <c r="A9" s="98" t="s">
        <v>270</v>
      </c>
      <c r="B9" s="99">
        <v>5.7210000000000001</v>
      </c>
      <c r="C9" s="100" t="s">
        <v>271</v>
      </c>
      <c r="D9" s="100">
        <v>12.058999999999999</v>
      </c>
      <c r="E9" s="99" t="s">
        <v>272</v>
      </c>
      <c r="F9" s="99">
        <v>24.143000000000001</v>
      </c>
      <c r="G9" s="101" t="s">
        <v>273</v>
      </c>
      <c r="H9" s="101">
        <v>4.88</v>
      </c>
      <c r="I9" s="216">
        <v>5.17</v>
      </c>
      <c r="J9" s="217"/>
      <c r="K9" s="106" t="s">
        <v>274</v>
      </c>
      <c r="L9" s="106">
        <v>2</v>
      </c>
      <c r="M9" s="104">
        <v>16.5</v>
      </c>
      <c r="N9" s="104">
        <f t="shared" si="0"/>
        <v>109.56</v>
      </c>
      <c r="O9" s="104">
        <f t="shared" si="1"/>
        <v>18.260000000000002</v>
      </c>
      <c r="P9" s="104"/>
      <c r="Q9" s="109"/>
    </row>
    <row r="10" spans="1:17" ht="24">
      <c r="A10" s="98" t="s">
        <v>275</v>
      </c>
      <c r="B10" s="99">
        <v>7.3979999999999997</v>
      </c>
      <c r="C10" s="100" t="s">
        <v>258</v>
      </c>
      <c r="D10" s="100">
        <v>12.318</v>
      </c>
      <c r="E10" s="99" t="s">
        <v>276</v>
      </c>
      <c r="F10" s="99">
        <v>27.928999999999998</v>
      </c>
      <c r="G10" s="101" t="s">
        <v>277</v>
      </c>
      <c r="H10" s="101">
        <v>6.64</v>
      </c>
      <c r="I10" s="216">
        <v>7.04</v>
      </c>
      <c r="J10" s="217"/>
      <c r="K10" s="106" t="s">
        <v>278</v>
      </c>
      <c r="L10" s="106">
        <v>2.4700000000000002</v>
      </c>
      <c r="M10" s="104">
        <v>16.5</v>
      </c>
      <c r="N10" s="104">
        <f t="shared" si="0"/>
        <v>137.61000000000001</v>
      </c>
      <c r="O10" s="104">
        <f t="shared" si="1"/>
        <v>22.934999999999999</v>
      </c>
      <c r="P10" s="104"/>
      <c r="Q10" s="109"/>
    </row>
    <row r="11" spans="1:17" ht="24">
      <c r="A11" s="98" t="s">
        <v>279</v>
      </c>
      <c r="B11" s="99">
        <v>7.976</v>
      </c>
      <c r="C11" s="100" t="s">
        <v>263</v>
      </c>
      <c r="D11" s="100">
        <v>14.535</v>
      </c>
      <c r="E11" s="99" t="s">
        <v>280</v>
      </c>
      <c r="F11" s="99">
        <v>36.524000000000001</v>
      </c>
      <c r="G11" s="101" t="s">
        <v>281</v>
      </c>
      <c r="H11" s="101">
        <v>8.34</v>
      </c>
      <c r="I11" s="216">
        <v>8.84</v>
      </c>
      <c r="J11" s="217"/>
      <c r="K11" s="106" t="s">
        <v>282</v>
      </c>
      <c r="L11" s="106">
        <v>2.98</v>
      </c>
      <c r="M11" s="104">
        <v>16.5</v>
      </c>
      <c r="N11" s="104">
        <f t="shared" si="0"/>
        <v>179.02500000000001</v>
      </c>
      <c r="O11" s="104">
        <f t="shared" si="1"/>
        <v>29.837499999999999</v>
      </c>
      <c r="P11" s="104"/>
      <c r="Q11" s="109"/>
    </row>
    <row r="12" spans="1:17" ht="24">
      <c r="A12" s="98" t="s">
        <v>283</v>
      </c>
      <c r="B12" s="99">
        <v>9.0299999999999994</v>
      </c>
      <c r="C12" s="100" t="s">
        <v>284</v>
      </c>
      <c r="D12" s="100">
        <v>16.733000000000001</v>
      </c>
      <c r="E12" s="99" t="s">
        <v>285</v>
      </c>
      <c r="F12" s="99">
        <v>33.07</v>
      </c>
      <c r="G12" s="101" t="s">
        <v>286</v>
      </c>
      <c r="H12" s="101">
        <v>10.85</v>
      </c>
      <c r="I12" s="216">
        <v>11.5</v>
      </c>
      <c r="J12" s="217"/>
      <c r="K12" s="106" t="s">
        <v>287</v>
      </c>
      <c r="L12" s="106">
        <v>3.55</v>
      </c>
      <c r="M12" s="104">
        <v>16.5</v>
      </c>
      <c r="N12" s="104">
        <f t="shared" si="0"/>
        <v>248.16</v>
      </c>
      <c r="O12" s="104">
        <f t="shared" si="1"/>
        <v>41.36</v>
      </c>
      <c r="P12" s="104">
        <v>112</v>
      </c>
      <c r="Q12" s="109">
        <f>P12-O12</f>
        <v>70.64</v>
      </c>
    </row>
    <row r="13" spans="1:17" ht="24">
      <c r="A13" s="98" t="s">
        <v>288</v>
      </c>
      <c r="B13" s="99">
        <v>9.6579999999999995</v>
      </c>
      <c r="C13" s="100" t="s">
        <v>267</v>
      </c>
      <c r="D13" s="100">
        <v>17.239999999999998</v>
      </c>
      <c r="E13" s="99" t="s">
        <v>289</v>
      </c>
      <c r="F13" s="99">
        <v>36.524000000000001</v>
      </c>
      <c r="G13" s="101" t="s">
        <v>290</v>
      </c>
      <c r="H13" s="101">
        <v>15.04</v>
      </c>
      <c r="I13" s="216">
        <v>15.94</v>
      </c>
      <c r="J13" s="217"/>
      <c r="K13" s="106" t="s">
        <v>291</v>
      </c>
      <c r="L13" s="106">
        <v>3.85</v>
      </c>
      <c r="M13" s="104">
        <v>16.5</v>
      </c>
      <c r="N13" s="104">
        <f t="shared" si="0"/>
        <v>293.86500000000001</v>
      </c>
      <c r="O13" s="104">
        <f t="shared" si="1"/>
        <v>48.977499999999999</v>
      </c>
      <c r="P13" s="104"/>
      <c r="Q13" s="109"/>
    </row>
    <row r="14" spans="1:17" ht="24">
      <c r="A14" s="98" t="s">
        <v>292</v>
      </c>
      <c r="B14" s="99">
        <v>11.874000000000001</v>
      </c>
      <c r="C14" s="100" t="s">
        <v>293</v>
      </c>
      <c r="D14" s="100">
        <v>19.751999999999999</v>
      </c>
      <c r="E14" s="99" t="s">
        <v>294</v>
      </c>
      <c r="F14" s="99">
        <v>37.476999999999997</v>
      </c>
      <c r="G14" s="101" t="s">
        <v>295</v>
      </c>
      <c r="H14" s="101">
        <v>17.809999999999999</v>
      </c>
      <c r="I14" s="216">
        <v>18.88</v>
      </c>
      <c r="J14" s="217"/>
      <c r="K14" s="106" t="s">
        <v>296</v>
      </c>
      <c r="L14" s="106">
        <v>4.83</v>
      </c>
      <c r="M14" s="104"/>
      <c r="N14" s="104"/>
      <c r="O14" s="104"/>
      <c r="P14" s="104"/>
      <c r="Q14" s="109"/>
    </row>
    <row r="15" spans="1:17" ht="24">
      <c r="A15" s="98" t="s">
        <v>297</v>
      </c>
      <c r="B15" s="99">
        <v>10.946</v>
      </c>
      <c r="C15" s="100" t="s">
        <v>272</v>
      </c>
      <c r="D15" s="100">
        <v>20.173999999999999</v>
      </c>
      <c r="E15" s="99" t="s">
        <v>298</v>
      </c>
      <c r="F15" s="99">
        <v>41.244999999999997</v>
      </c>
      <c r="G15" s="101" t="s">
        <v>299</v>
      </c>
      <c r="H15" s="101">
        <v>31.52</v>
      </c>
      <c r="I15" s="216">
        <v>33.409999999999997</v>
      </c>
      <c r="J15" s="217"/>
      <c r="K15" s="106" t="s">
        <v>300</v>
      </c>
      <c r="L15" s="106">
        <v>5.55</v>
      </c>
      <c r="M15" s="104"/>
      <c r="N15" s="104"/>
      <c r="O15" s="104"/>
      <c r="P15" s="104"/>
      <c r="Q15" s="109"/>
    </row>
    <row r="16" spans="1:17" ht="14.25">
      <c r="A16" s="98" t="s">
        <v>301</v>
      </c>
      <c r="B16" s="99">
        <v>13.476000000000001</v>
      </c>
      <c r="C16" s="100" t="s">
        <v>302</v>
      </c>
      <c r="D16" s="100">
        <v>23</v>
      </c>
      <c r="E16" s="99" t="s">
        <v>303</v>
      </c>
      <c r="F16" s="99">
        <v>38.104999999999997</v>
      </c>
      <c r="G16" s="218" t="s">
        <v>304</v>
      </c>
      <c r="H16" s="219"/>
      <c r="I16" s="219"/>
      <c r="J16" s="220"/>
      <c r="K16" s="106" t="s">
        <v>305</v>
      </c>
      <c r="L16" s="106">
        <v>6.31</v>
      </c>
      <c r="M16" s="104"/>
      <c r="N16" s="104"/>
      <c r="O16" s="104"/>
      <c r="P16" s="104"/>
      <c r="Q16" s="109"/>
    </row>
    <row r="17" spans="1:17" ht="14.25">
      <c r="A17" s="98" t="s">
        <v>306</v>
      </c>
      <c r="B17" s="99">
        <v>15.12</v>
      </c>
      <c r="C17" s="100" t="s">
        <v>276</v>
      </c>
      <c r="D17" s="100">
        <v>22.637</v>
      </c>
      <c r="E17" s="99" t="s">
        <v>307</v>
      </c>
      <c r="F17" s="99">
        <v>42.03</v>
      </c>
      <c r="G17" s="221" t="s">
        <v>308</v>
      </c>
      <c r="H17" s="222"/>
      <c r="I17" s="223" t="s">
        <v>309</v>
      </c>
      <c r="J17" s="224"/>
      <c r="K17" s="106" t="s">
        <v>310</v>
      </c>
      <c r="L17" s="106">
        <v>7.55</v>
      </c>
      <c r="M17" s="104"/>
      <c r="N17" s="104"/>
      <c r="O17" s="104"/>
      <c r="P17" s="104"/>
      <c r="Q17" s="109"/>
    </row>
    <row r="18" spans="1:17" ht="14.25">
      <c r="A18" s="98" t="s">
        <v>311</v>
      </c>
      <c r="B18" s="99">
        <v>16.690000000000001</v>
      </c>
      <c r="C18" s="100" t="s">
        <v>280</v>
      </c>
      <c r="D18" s="100">
        <v>25.777000000000001</v>
      </c>
      <c r="E18" s="99" t="s">
        <v>312</v>
      </c>
      <c r="F18" s="99">
        <v>42.825000000000003</v>
      </c>
      <c r="G18" s="102" t="s">
        <v>313</v>
      </c>
      <c r="H18" s="102">
        <v>0.25</v>
      </c>
      <c r="I18" s="99" t="s">
        <v>314</v>
      </c>
      <c r="J18" s="99">
        <v>26.6</v>
      </c>
      <c r="K18" s="106" t="s">
        <v>315</v>
      </c>
      <c r="L18" s="106">
        <v>8.9</v>
      </c>
      <c r="M18" s="104"/>
      <c r="N18" s="104"/>
      <c r="O18" s="104"/>
      <c r="P18" s="104"/>
      <c r="Q18" s="109"/>
    </row>
    <row r="19" spans="1:17" ht="14.25">
      <c r="A19" s="98" t="s">
        <v>316</v>
      </c>
      <c r="B19" s="99">
        <v>19.132999999999999</v>
      </c>
      <c r="C19" s="100" t="s">
        <v>285</v>
      </c>
      <c r="D19" s="100">
        <v>24.998999999999999</v>
      </c>
      <c r="E19" s="99" t="s">
        <v>317</v>
      </c>
      <c r="F19" s="99">
        <v>47.084000000000003</v>
      </c>
      <c r="G19" s="102" t="s">
        <v>246</v>
      </c>
      <c r="H19" s="102">
        <v>0.47</v>
      </c>
      <c r="I19" s="99" t="s">
        <v>318</v>
      </c>
      <c r="J19" s="99">
        <v>34.4</v>
      </c>
      <c r="K19" s="106" t="s">
        <v>319</v>
      </c>
      <c r="L19" s="106">
        <v>9.8699999999999992</v>
      </c>
      <c r="M19" s="104"/>
      <c r="N19" s="104"/>
      <c r="O19" s="104"/>
      <c r="P19" s="104"/>
      <c r="Q19" s="109"/>
    </row>
    <row r="20" spans="1:17" ht="14.25">
      <c r="A20" s="98" t="s">
        <v>320</v>
      </c>
      <c r="B20" s="99">
        <v>22.696000000000002</v>
      </c>
      <c r="C20" s="100" t="s">
        <v>289</v>
      </c>
      <c r="D20" s="100">
        <v>28.452999999999999</v>
      </c>
      <c r="E20" s="99" t="s">
        <v>321</v>
      </c>
      <c r="F20" s="99">
        <v>43.491999999999997</v>
      </c>
      <c r="G20" s="102" t="s">
        <v>251</v>
      </c>
      <c r="H20" s="102">
        <v>0.59</v>
      </c>
      <c r="I20" s="99" t="s">
        <v>322</v>
      </c>
      <c r="J20" s="99">
        <v>42.3</v>
      </c>
      <c r="K20" s="106" t="s">
        <v>323</v>
      </c>
      <c r="L20" s="106">
        <v>10.87</v>
      </c>
      <c r="M20" s="104"/>
      <c r="N20" s="104"/>
      <c r="O20" s="104"/>
      <c r="P20" s="104"/>
      <c r="Q20" s="109"/>
    </row>
    <row r="21" spans="1:17" ht="14.25">
      <c r="A21" s="98" t="s">
        <v>324</v>
      </c>
      <c r="B21" s="99">
        <v>25.521999999999998</v>
      </c>
      <c r="C21" s="100" t="s">
        <v>294</v>
      </c>
      <c r="D21" s="100">
        <v>26.86</v>
      </c>
      <c r="E21" s="99" t="s">
        <v>325</v>
      </c>
      <c r="F21" s="99">
        <v>47.887999999999998</v>
      </c>
      <c r="G21" s="102" t="s">
        <v>256</v>
      </c>
      <c r="H21" s="102">
        <v>0.71</v>
      </c>
      <c r="I21" s="99" t="s">
        <v>326</v>
      </c>
      <c r="J21" s="99">
        <v>50.1</v>
      </c>
      <c r="K21" s="106" t="s">
        <v>327</v>
      </c>
      <c r="L21" s="106">
        <v>12.43</v>
      </c>
      <c r="M21" s="104"/>
      <c r="N21" s="104"/>
      <c r="O21" s="104"/>
      <c r="P21" s="104"/>
      <c r="Q21" s="109"/>
    </row>
    <row r="22" spans="1:17" ht="14.25">
      <c r="A22" s="98" t="s">
        <v>328</v>
      </c>
      <c r="B22" s="99">
        <v>29.49</v>
      </c>
      <c r="C22" s="100" t="s">
        <v>298</v>
      </c>
      <c r="D22" s="100">
        <v>30.628</v>
      </c>
      <c r="E22" s="99" t="s">
        <v>329</v>
      </c>
      <c r="F22" s="99">
        <v>48.084000000000003</v>
      </c>
      <c r="G22" s="102" t="s">
        <v>261</v>
      </c>
      <c r="H22" s="102">
        <v>1.26</v>
      </c>
      <c r="I22" s="99" t="s">
        <v>330</v>
      </c>
      <c r="J22" s="99">
        <v>65.8</v>
      </c>
      <c r="K22" s="106" t="s">
        <v>331</v>
      </c>
      <c r="L22" s="106">
        <v>15.42</v>
      </c>
      <c r="M22" s="104"/>
      <c r="N22" s="104"/>
      <c r="O22" s="104"/>
      <c r="P22" s="104"/>
      <c r="Q22" s="109"/>
    </row>
    <row r="23" spans="1:17" ht="14.25">
      <c r="A23" s="98" t="s">
        <v>332</v>
      </c>
      <c r="B23" s="99">
        <v>33.987000000000002</v>
      </c>
      <c r="C23" s="100" t="s">
        <v>303</v>
      </c>
      <c r="D23" s="100">
        <v>27.41</v>
      </c>
      <c r="E23" s="99" t="s">
        <v>333</v>
      </c>
      <c r="F23" s="99">
        <v>52.793999999999997</v>
      </c>
      <c r="G23" s="102" t="s">
        <v>266</v>
      </c>
      <c r="H23" s="102">
        <v>1.96</v>
      </c>
      <c r="I23" s="204" t="s">
        <v>334</v>
      </c>
      <c r="J23" s="205"/>
      <c r="K23" s="106" t="s">
        <v>335</v>
      </c>
      <c r="L23" s="106">
        <v>18.600000000000001</v>
      </c>
      <c r="M23" s="104"/>
      <c r="N23" s="104"/>
      <c r="O23" s="104"/>
      <c r="P23" s="104"/>
      <c r="Q23" s="109"/>
    </row>
    <row r="24" spans="1:17" ht="14.25">
      <c r="A24" s="98" t="s">
        <v>336</v>
      </c>
      <c r="B24" s="99">
        <v>38.518000000000001</v>
      </c>
      <c r="C24" s="100" t="s">
        <v>307</v>
      </c>
      <c r="D24" s="100">
        <v>31.335000000000001</v>
      </c>
      <c r="E24" s="99" t="s">
        <v>337</v>
      </c>
      <c r="F24" s="99">
        <v>57.741</v>
      </c>
      <c r="G24" s="102" t="s">
        <v>338</v>
      </c>
      <c r="H24" s="102">
        <v>2.83</v>
      </c>
      <c r="I24" s="107" t="s">
        <v>339</v>
      </c>
      <c r="J24" s="107">
        <v>7.85</v>
      </c>
      <c r="K24" s="106" t="s">
        <v>340</v>
      </c>
      <c r="L24" s="106">
        <v>22.2</v>
      </c>
      <c r="M24" s="104"/>
      <c r="N24" s="104"/>
      <c r="O24" s="104"/>
      <c r="P24" s="104"/>
      <c r="Q24" s="109"/>
    </row>
    <row r="25" spans="1:17" ht="14.25">
      <c r="A25" s="98" t="s">
        <v>341</v>
      </c>
      <c r="B25" s="99">
        <v>43.542000000000002</v>
      </c>
      <c r="C25" s="100" t="s">
        <v>312</v>
      </c>
      <c r="D25" s="100">
        <v>35.076999999999998</v>
      </c>
      <c r="E25" s="99" t="s">
        <v>342</v>
      </c>
      <c r="F25" s="103" t="s">
        <v>343</v>
      </c>
      <c r="G25" s="102" t="s">
        <v>275</v>
      </c>
      <c r="H25" s="102">
        <v>3.85</v>
      </c>
      <c r="I25" s="107" t="s">
        <v>344</v>
      </c>
      <c r="J25" s="107">
        <v>9.42</v>
      </c>
      <c r="K25" s="106" t="s">
        <v>345</v>
      </c>
      <c r="L25" s="106">
        <v>26</v>
      </c>
      <c r="M25" s="104"/>
      <c r="N25" s="104"/>
      <c r="O25" s="104"/>
      <c r="P25" s="104"/>
      <c r="Q25" s="109"/>
    </row>
    <row r="26" spans="1:17" ht="14.25">
      <c r="A26" s="98" t="s">
        <v>346</v>
      </c>
      <c r="B26" s="99">
        <v>48.634</v>
      </c>
      <c r="C26" s="100" t="s">
        <v>317</v>
      </c>
      <c r="D26" s="100">
        <v>39.316000000000003</v>
      </c>
      <c r="E26" s="99" t="s">
        <v>347</v>
      </c>
      <c r="F26" s="99">
        <v>60.036999999999999</v>
      </c>
      <c r="G26" s="102" t="s">
        <v>288</v>
      </c>
      <c r="H26" s="102">
        <v>5.0199999999999996</v>
      </c>
      <c r="I26" s="107" t="s">
        <v>348</v>
      </c>
      <c r="J26" s="107">
        <v>11.775</v>
      </c>
      <c r="K26" s="106" t="s">
        <v>349</v>
      </c>
      <c r="L26" s="106">
        <v>30.2</v>
      </c>
      <c r="M26" s="104"/>
      <c r="N26" s="104"/>
      <c r="O26" s="104"/>
      <c r="P26" s="104"/>
      <c r="Q26" s="109"/>
    </row>
    <row r="27" spans="1:17" ht="14.25">
      <c r="A27" s="98" t="s">
        <v>350</v>
      </c>
      <c r="B27" s="99">
        <v>54.401000000000003</v>
      </c>
      <c r="C27" s="100" t="s">
        <v>321</v>
      </c>
      <c r="D27" s="100">
        <v>35.823</v>
      </c>
      <c r="E27" s="99" t="s">
        <v>351</v>
      </c>
      <c r="F27" s="99">
        <v>65.688999999999993</v>
      </c>
      <c r="G27" s="102" t="s">
        <v>352</v>
      </c>
      <c r="H27" s="102">
        <v>6.36</v>
      </c>
      <c r="I27" s="107" t="s">
        <v>353</v>
      </c>
      <c r="J27" s="107">
        <v>4.3600000000000003</v>
      </c>
      <c r="K27" s="106" t="s">
        <v>354</v>
      </c>
      <c r="L27" s="106">
        <v>34.700000000000003</v>
      </c>
      <c r="M27" s="104"/>
      <c r="N27" s="104"/>
      <c r="O27" s="104"/>
      <c r="P27" s="104"/>
      <c r="Q27" s="109"/>
    </row>
    <row r="28" spans="1:17" ht="14.25">
      <c r="A28" s="98" t="s">
        <v>355</v>
      </c>
      <c r="B28" s="99">
        <v>60.055999999999997</v>
      </c>
      <c r="C28" s="100" t="s">
        <v>325</v>
      </c>
      <c r="D28" s="100">
        <v>40.219000000000001</v>
      </c>
      <c r="E28" s="99" t="s">
        <v>356</v>
      </c>
      <c r="F28" s="99">
        <v>67.588999999999999</v>
      </c>
      <c r="G28" s="102" t="s">
        <v>306</v>
      </c>
      <c r="H28" s="102">
        <v>7.85</v>
      </c>
      <c r="I28" s="107" t="s">
        <v>357</v>
      </c>
      <c r="J28" s="107">
        <v>15.7</v>
      </c>
      <c r="K28" s="106" t="s">
        <v>358</v>
      </c>
      <c r="L28" s="106">
        <v>39.5</v>
      </c>
      <c r="M28" s="104"/>
      <c r="N28" s="104"/>
      <c r="O28" s="104"/>
      <c r="P28" s="104"/>
      <c r="Q28" s="109"/>
    </row>
    <row r="29" spans="1:17" ht="14.25">
      <c r="A29" s="98" t="s">
        <v>359</v>
      </c>
      <c r="B29" s="99">
        <v>71.168000000000006</v>
      </c>
      <c r="C29" s="100" t="s">
        <v>329</v>
      </c>
      <c r="D29" s="100">
        <v>34.463000000000001</v>
      </c>
      <c r="E29" s="99" t="s">
        <v>360</v>
      </c>
      <c r="F29" s="99">
        <v>73.87</v>
      </c>
      <c r="G29" s="102" t="s">
        <v>361</v>
      </c>
      <c r="H29" s="102">
        <v>6.28</v>
      </c>
      <c r="I29" s="107" t="s">
        <v>362</v>
      </c>
      <c r="J29" s="107">
        <v>19.63</v>
      </c>
      <c r="K29" s="106" t="s">
        <v>363</v>
      </c>
      <c r="L29" s="106">
        <v>44.58</v>
      </c>
      <c r="M29" s="104"/>
      <c r="N29" s="104"/>
      <c r="O29" s="104"/>
      <c r="P29" s="104"/>
      <c r="Q29" s="109"/>
    </row>
    <row r="30" spans="1:17" ht="14.25">
      <c r="A30" s="206" t="s">
        <v>343</v>
      </c>
      <c r="B30" s="207"/>
      <c r="C30" s="100" t="s">
        <v>333</v>
      </c>
      <c r="D30" s="100">
        <v>39.173000000000002</v>
      </c>
      <c r="E30" s="99" t="s">
        <v>364</v>
      </c>
      <c r="F30" s="99">
        <v>101.554</v>
      </c>
      <c r="G30" s="208" t="s">
        <v>343</v>
      </c>
      <c r="H30" s="209"/>
      <c r="I30" s="107" t="s">
        <v>365</v>
      </c>
      <c r="J30" s="107">
        <v>23.55</v>
      </c>
      <c r="K30" s="106" t="s">
        <v>366</v>
      </c>
      <c r="L30" s="106">
        <v>49.9</v>
      </c>
      <c r="M30" s="104"/>
      <c r="N30" s="104"/>
      <c r="O30" s="104"/>
      <c r="P30" s="104"/>
      <c r="Q30" s="109"/>
    </row>
    <row r="31" spans="1:17">
      <c r="A31" s="210" t="s">
        <v>343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2"/>
    </row>
    <row r="32" spans="1:17">
      <c r="A32" s="213" t="s">
        <v>367</v>
      </c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5"/>
    </row>
    <row r="33" spans="1:17">
      <c r="A33" s="192" t="s">
        <v>368</v>
      </c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4"/>
    </row>
    <row r="34" spans="1:17">
      <c r="A34" s="192" t="s">
        <v>369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4"/>
    </row>
    <row r="35" spans="1:17">
      <c r="A35" s="192" t="s">
        <v>370</v>
      </c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4"/>
    </row>
    <row r="36" spans="1:17">
      <c r="A36" s="192" t="s">
        <v>371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4"/>
    </row>
    <row r="37" spans="1:17">
      <c r="A37" s="192" t="s">
        <v>372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4"/>
    </row>
    <row r="38" spans="1:17">
      <c r="A38" s="192" t="s">
        <v>373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4"/>
    </row>
    <row r="39" spans="1:17" ht="14.25">
      <c r="A39" s="195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7"/>
    </row>
    <row r="40" spans="1:17">
      <c r="A40" s="198" t="s">
        <v>374</v>
      </c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200"/>
    </row>
    <row r="41" spans="1:17" ht="14.25">
      <c r="A41" s="201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3"/>
    </row>
  </sheetData>
  <mergeCells count="37">
    <mergeCell ref="A1:L1"/>
    <mergeCell ref="A2:B2"/>
    <mergeCell ref="C2:D2"/>
    <mergeCell ref="E2:F2"/>
    <mergeCell ref="G2:H2"/>
    <mergeCell ref="I2:J2"/>
    <mergeCell ref="K2:L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G16:J16"/>
    <mergeCell ref="G17:H17"/>
    <mergeCell ref="I17:J17"/>
    <mergeCell ref="I23:J23"/>
    <mergeCell ref="A30:B30"/>
    <mergeCell ref="G30:H30"/>
    <mergeCell ref="A31:Q31"/>
    <mergeCell ref="A32:Q32"/>
    <mergeCell ref="A38:Q38"/>
    <mergeCell ref="A39:Q39"/>
    <mergeCell ref="A40:Q40"/>
    <mergeCell ref="A41:Q41"/>
    <mergeCell ref="A33:Q33"/>
    <mergeCell ref="A34:Q34"/>
    <mergeCell ref="A35:Q35"/>
    <mergeCell ref="A36:Q36"/>
    <mergeCell ref="A37:Q37"/>
  </mergeCells>
  <phoneticPr fontId="4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4"/>
  <sheetViews>
    <sheetView workbookViewId="0">
      <selection activeCell="T34" sqref="T34"/>
    </sheetView>
  </sheetViews>
  <sheetFormatPr defaultColWidth="9" defaultRowHeight="13.5"/>
  <cols>
    <col min="7" max="7" width="9.875" customWidth="1"/>
    <col min="9" max="10" width="9" style="17"/>
  </cols>
  <sheetData>
    <row r="1" spans="1:26" ht="31.5" customHeight="1">
      <c r="A1" s="157" t="s">
        <v>820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9" t="s">
        <v>821</v>
      </c>
      <c r="N1" s="159"/>
      <c r="O1" s="159"/>
      <c r="P1" s="159"/>
      <c r="Q1" s="159"/>
      <c r="R1" s="160" t="s">
        <v>818</v>
      </c>
      <c r="S1" s="160"/>
      <c r="T1" s="160"/>
      <c r="U1" s="160"/>
      <c r="V1" s="160"/>
      <c r="W1" s="160"/>
      <c r="X1" s="160"/>
      <c r="Y1" s="160"/>
      <c r="Z1" s="160"/>
    </row>
    <row r="2" spans="1:26" ht="14.25">
      <c r="A2" s="232" t="s">
        <v>375</v>
      </c>
      <c r="B2" s="169" t="s">
        <v>376</v>
      </c>
      <c r="C2" s="169"/>
      <c r="D2" s="169"/>
      <c r="E2" s="169"/>
      <c r="F2" s="236" t="s">
        <v>377</v>
      </c>
      <c r="G2" s="236"/>
      <c r="H2" s="232" t="s">
        <v>2</v>
      </c>
      <c r="I2" s="169" t="s">
        <v>3</v>
      </c>
      <c r="J2" s="169"/>
      <c r="K2" s="169"/>
      <c r="L2" s="169"/>
      <c r="M2" s="17"/>
      <c r="T2" s="96" t="s">
        <v>378</v>
      </c>
    </row>
    <row r="3" spans="1:26" ht="15.75">
      <c r="A3" s="233"/>
      <c r="B3" s="20" t="s">
        <v>37</v>
      </c>
      <c r="C3" s="20" t="s">
        <v>7</v>
      </c>
      <c r="D3" s="20" t="s">
        <v>8</v>
      </c>
      <c r="E3" s="20" t="s">
        <v>9</v>
      </c>
      <c r="F3" s="20" t="s">
        <v>379</v>
      </c>
      <c r="G3" s="20" t="s">
        <v>380</v>
      </c>
      <c r="H3" s="233"/>
      <c r="I3" s="20" t="s">
        <v>37</v>
      </c>
      <c r="J3" s="20" t="s">
        <v>7</v>
      </c>
      <c r="K3" s="20" t="s">
        <v>8</v>
      </c>
      <c r="L3" s="20" t="s">
        <v>9</v>
      </c>
      <c r="M3" s="17"/>
      <c r="T3" s="97" t="s">
        <v>381</v>
      </c>
    </row>
    <row r="4" spans="1:26" ht="15.75">
      <c r="A4" s="233"/>
      <c r="B4" s="20">
        <v>22</v>
      </c>
      <c r="C4" s="20">
        <f>B4/10</f>
        <v>2.2000000000000002</v>
      </c>
      <c r="D4" s="87"/>
      <c r="E4" s="20">
        <f>C4*D4</f>
        <v>0</v>
      </c>
      <c r="F4" s="88">
        <f>IF(E21&lt;=5.6,6.35,IF(E21&lt;=30,9.52,IF(E21&lt;=45,12.7,IF(E21&lt;=67,15.9,IF(E21&lt;=135,19.05,IF(E21&lt;=160,22.2,IF(E21&gt;160,25.4)))))))</f>
        <v>19.05</v>
      </c>
      <c r="G4" s="88">
        <f>IF(E21&lt;=5.6,12.7,IF(E21&lt;=14.2,15.9,IF(E21&lt;=22,19.05,IF(E21&lt;=30,22.2,IF(E21&lt;=67,28.6,IF(E21&lt;=95,34.9,IF(E21&lt;=135,41.3,IF(E21&lt;=160,44.5,IF(E21&gt;160,54.1)))))))))</f>
        <v>41.3</v>
      </c>
      <c r="H4" s="233"/>
      <c r="I4" s="20">
        <v>22</v>
      </c>
      <c r="J4" s="20">
        <f>I4/10</f>
        <v>2.2000000000000002</v>
      </c>
      <c r="K4" s="87">
        <f>D4</f>
        <v>0</v>
      </c>
      <c r="L4" s="20">
        <f>J4*K4</f>
        <v>0</v>
      </c>
      <c r="M4" s="17"/>
      <c r="T4" s="97" t="s">
        <v>382</v>
      </c>
    </row>
    <row r="5" spans="1:26" ht="15.75">
      <c r="A5" s="233"/>
      <c r="B5" s="20">
        <v>25</v>
      </c>
      <c r="C5" s="20">
        <f t="shared" ref="C5:C20" si="0">B5/10</f>
        <v>2.5</v>
      </c>
      <c r="D5" s="87"/>
      <c r="E5" s="20">
        <f t="shared" ref="E5:E20" si="1">C5*D5</f>
        <v>0</v>
      </c>
      <c r="F5" s="17"/>
      <c r="G5" s="17"/>
      <c r="H5" s="233"/>
      <c r="I5" s="20">
        <v>25</v>
      </c>
      <c r="J5" s="20">
        <f t="shared" ref="J5:J20" si="2">I5/10</f>
        <v>2.5</v>
      </c>
      <c r="K5" s="87">
        <f t="shared" ref="K5:K20" si="3">D5</f>
        <v>0</v>
      </c>
      <c r="L5" s="20">
        <f t="shared" ref="L5:L20" si="4">J5*K5</f>
        <v>0</v>
      </c>
      <c r="M5" s="17"/>
      <c r="T5" s="97" t="s">
        <v>383</v>
      </c>
    </row>
    <row r="6" spans="1:26" ht="15.75">
      <c r="A6" s="233"/>
      <c r="B6" s="20">
        <v>28</v>
      </c>
      <c r="C6" s="20">
        <f t="shared" si="0"/>
        <v>2.8</v>
      </c>
      <c r="D6" s="87">
        <v>1</v>
      </c>
      <c r="E6" s="20">
        <f t="shared" si="1"/>
        <v>2.8</v>
      </c>
      <c r="F6" s="20" t="s">
        <v>384</v>
      </c>
      <c r="G6" s="20" t="s">
        <v>385</v>
      </c>
      <c r="H6" s="233"/>
      <c r="I6" s="20">
        <v>28</v>
      </c>
      <c r="J6" s="20">
        <f t="shared" si="2"/>
        <v>2.8</v>
      </c>
      <c r="K6" s="87">
        <f t="shared" si="3"/>
        <v>1</v>
      </c>
      <c r="L6" s="20">
        <f t="shared" si="4"/>
        <v>2.8</v>
      </c>
      <c r="M6" s="17"/>
      <c r="T6" s="97" t="s">
        <v>386</v>
      </c>
    </row>
    <row r="7" spans="1:26" ht="15.75">
      <c r="A7" s="233"/>
      <c r="B7" s="20">
        <v>32</v>
      </c>
      <c r="C7" s="20">
        <f t="shared" si="0"/>
        <v>3.2</v>
      </c>
      <c r="D7" s="87"/>
      <c r="E7" s="20">
        <f t="shared" si="1"/>
        <v>0</v>
      </c>
      <c r="F7" s="88" t="str">
        <f>IF(E21&lt;=20,"FQ01A",IF(E21&lt;=30,"FQ01B",IF(E21&lt;=70,"FQ02",IF(E21&lt;=135,"FQ03",IF(E21&gt;135,"FQ04")))))</f>
        <v>FQ03</v>
      </c>
      <c r="G7" s="88">
        <f>IF(I21&lt;=7.1,20,IF(I21&lt;=18,25,IF(I21&lt;=100,32,IF(I21&lt;=176,40,IF(I21&lt;=598,50,IF(I21&lt;=1055,80,IF(I21&lt;=1512,100,IF(I21&lt;=12462,125))))))))</f>
        <v>40</v>
      </c>
      <c r="H7" s="233"/>
      <c r="I7" s="20">
        <v>32</v>
      </c>
      <c r="J7" s="20">
        <f t="shared" si="2"/>
        <v>3.2</v>
      </c>
      <c r="K7" s="87">
        <f t="shared" si="3"/>
        <v>0</v>
      </c>
      <c r="L7" s="20">
        <f t="shared" si="4"/>
        <v>0</v>
      </c>
      <c r="M7" s="17"/>
      <c r="T7" s="97" t="s">
        <v>387</v>
      </c>
    </row>
    <row r="8" spans="1:26" ht="15.75">
      <c r="A8" s="233"/>
      <c r="B8" s="20">
        <v>36</v>
      </c>
      <c r="C8" s="20">
        <f t="shared" si="0"/>
        <v>3.6</v>
      </c>
      <c r="D8" s="87"/>
      <c r="E8" s="20">
        <f t="shared" si="1"/>
        <v>0</v>
      </c>
      <c r="F8" s="17"/>
      <c r="G8" s="17"/>
      <c r="H8" s="233"/>
      <c r="I8" s="20">
        <v>36</v>
      </c>
      <c r="J8" s="20">
        <f t="shared" si="2"/>
        <v>3.6</v>
      </c>
      <c r="K8" s="87">
        <f t="shared" si="3"/>
        <v>0</v>
      </c>
      <c r="L8" s="20">
        <f t="shared" si="4"/>
        <v>0</v>
      </c>
      <c r="M8" s="17"/>
      <c r="T8" s="97" t="s">
        <v>388</v>
      </c>
    </row>
    <row r="9" spans="1:26" ht="15.75">
      <c r="A9" s="233"/>
      <c r="B9" s="20">
        <v>40</v>
      </c>
      <c r="C9" s="20">
        <f t="shared" si="0"/>
        <v>4</v>
      </c>
      <c r="D9" s="87"/>
      <c r="E9" s="20">
        <f t="shared" si="1"/>
        <v>0</v>
      </c>
      <c r="F9" s="17"/>
      <c r="G9" s="17"/>
      <c r="H9" s="233"/>
      <c r="I9" s="20">
        <v>40</v>
      </c>
      <c r="J9" s="20">
        <f t="shared" si="2"/>
        <v>4</v>
      </c>
      <c r="K9" s="87">
        <f t="shared" si="3"/>
        <v>0</v>
      </c>
      <c r="L9" s="20">
        <f t="shared" si="4"/>
        <v>0</v>
      </c>
      <c r="M9" s="17"/>
      <c r="T9" s="97" t="s">
        <v>389</v>
      </c>
    </row>
    <row r="10" spans="1:26" ht="15.75">
      <c r="A10" s="233"/>
      <c r="B10" s="20">
        <v>45</v>
      </c>
      <c r="C10" s="20">
        <f t="shared" si="0"/>
        <v>4.5</v>
      </c>
      <c r="D10" s="87">
        <v>20</v>
      </c>
      <c r="E10" s="20">
        <f t="shared" si="1"/>
        <v>90</v>
      </c>
      <c r="F10" s="17"/>
      <c r="G10" s="17"/>
      <c r="H10" s="233"/>
      <c r="I10" s="20">
        <v>45</v>
      </c>
      <c r="J10" s="20">
        <f t="shared" si="2"/>
        <v>4.5</v>
      </c>
      <c r="K10" s="87">
        <f t="shared" si="3"/>
        <v>20</v>
      </c>
      <c r="L10" s="20">
        <f t="shared" si="4"/>
        <v>90</v>
      </c>
      <c r="M10" s="17"/>
      <c r="T10" s="97" t="s">
        <v>390</v>
      </c>
    </row>
    <row r="11" spans="1:26" ht="15.75">
      <c r="A11" s="233"/>
      <c r="B11" s="20">
        <v>50</v>
      </c>
      <c r="C11" s="20">
        <f t="shared" si="0"/>
        <v>5</v>
      </c>
      <c r="D11" s="87"/>
      <c r="E11" s="20">
        <f t="shared" si="1"/>
        <v>0</v>
      </c>
      <c r="F11" s="17"/>
      <c r="G11" s="17"/>
      <c r="H11" s="233"/>
      <c r="I11" s="20">
        <v>50</v>
      </c>
      <c r="J11" s="20">
        <f t="shared" si="2"/>
        <v>5</v>
      </c>
      <c r="K11" s="87">
        <f t="shared" si="3"/>
        <v>0</v>
      </c>
      <c r="L11" s="20">
        <f t="shared" si="4"/>
        <v>0</v>
      </c>
      <c r="M11" s="17"/>
      <c r="T11" s="97" t="s">
        <v>391</v>
      </c>
    </row>
    <row r="12" spans="1:26" ht="15.75">
      <c r="A12" s="233"/>
      <c r="B12" s="20">
        <v>56</v>
      </c>
      <c r="C12" s="20">
        <f t="shared" si="0"/>
        <v>5.6</v>
      </c>
      <c r="D12" s="87"/>
      <c r="E12" s="20">
        <f t="shared" si="1"/>
        <v>0</v>
      </c>
      <c r="F12" s="17"/>
      <c r="G12" s="17"/>
      <c r="H12" s="233"/>
      <c r="I12" s="20">
        <v>56</v>
      </c>
      <c r="J12" s="20">
        <f t="shared" si="2"/>
        <v>5.6</v>
      </c>
      <c r="K12" s="87">
        <f t="shared" si="3"/>
        <v>0</v>
      </c>
      <c r="L12" s="20">
        <f t="shared" si="4"/>
        <v>0</v>
      </c>
      <c r="M12" s="17"/>
      <c r="T12" s="97" t="s">
        <v>392</v>
      </c>
    </row>
    <row r="13" spans="1:26" ht="14.25">
      <c r="A13" s="233"/>
      <c r="B13" s="20">
        <v>63</v>
      </c>
      <c r="C13" s="20">
        <f t="shared" si="0"/>
        <v>6.3</v>
      </c>
      <c r="D13" s="87"/>
      <c r="E13" s="20">
        <f t="shared" si="1"/>
        <v>0</v>
      </c>
      <c r="F13" s="17"/>
      <c r="G13" s="17"/>
      <c r="H13" s="233"/>
      <c r="I13" s="20">
        <v>63</v>
      </c>
      <c r="J13" s="20">
        <f t="shared" si="2"/>
        <v>6.3</v>
      </c>
      <c r="K13" s="87">
        <f t="shared" si="3"/>
        <v>0</v>
      </c>
      <c r="L13" s="20">
        <f t="shared" si="4"/>
        <v>0</v>
      </c>
      <c r="M13" s="17"/>
      <c r="T13" s="97" t="s">
        <v>393</v>
      </c>
    </row>
    <row r="14" spans="1:26">
      <c r="A14" s="233"/>
      <c r="B14" s="20">
        <v>71</v>
      </c>
      <c r="C14" s="20">
        <f t="shared" si="0"/>
        <v>7.1</v>
      </c>
      <c r="D14" s="87">
        <v>5</v>
      </c>
      <c r="E14" s="20">
        <f t="shared" si="1"/>
        <v>35.5</v>
      </c>
      <c r="F14" s="17"/>
      <c r="G14" s="17"/>
      <c r="H14" s="233"/>
      <c r="I14" s="20">
        <v>71</v>
      </c>
      <c r="J14" s="20">
        <f t="shared" si="2"/>
        <v>7.1</v>
      </c>
      <c r="K14" s="87">
        <f t="shared" si="3"/>
        <v>5</v>
      </c>
      <c r="L14" s="20">
        <f t="shared" si="4"/>
        <v>35.5</v>
      </c>
      <c r="M14" s="17"/>
    </row>
    <row r="15" spans="1:26">
      <c r="A15" s="233"/>
      <c r="B15" s="20">
        <v>80</v>
      </c>
      <c r="C15" s="20">
        <f t="shared" si="0"/>
        <v>8</v>
      </c>
      <c r="D15" s="87"/>
      <c r="E15" s="20">
        <f t="shared" si="1"/>
        <v>0</v>
      </c>
      <c r="F15" s="17"/>
      <c r="G15" s="17"/>
      <c r="H15" s="233"/>
      <c r="I15" s="20">
        <v>80</v>
      </c>
      <c r="J15" s="20">
        <f t="shared" si="2"/>
        <v>8</v>
      </c>
      <c r="K15" s="87">
        <f t="shared" si="3"/>
        <v>0</v>
      </c>
      <c r="L15" s="20">
        <f t="shared" si="4"/>
        <v>0</v>
      </c>
      <c r="M15" s="17"/>
      <c r="T15" s="179" t="s">
        <v>394</v>
      </c>
      <c r="U15" s="179"/>
      <c r="V15" s="179"/>
      <c r="W15" s="179"/>
    </row>
    <row r="16" spans="1:26">
      <c r="A16" s="233"/>
      <c r="B16" s="20">
        <v>90</v>
      </c>
      <c r="C16" s="20">
        <f t="shared" si="0"/>
        <v>9</v>
      </c>
      <c r="D16" s="87"/>
      <c r="E16" s="20">
        <f t="shared" si="1"/>
        <v>0</v>
      </c>
      <c r="F16" s="17"/>
      <c r="G16" s="17"/>
      <c r="H16" s="233"/>
      <c r="I16" s="20">
        <v>90</v>
      </c>
      <c r="J16" s="20">
        <f t="shared" si="2"/>
        <v>9</v>
      </c>
      <c r="K16" s="87">
        <f t="shared" si="3"/>
        <v>0</v>
      </c>
      <c r="L16" s="20">
        <f t="shared" si="4"/>
        <v>0</v>
      </c>
      <c r="M16" s="17"/>
    </row>
    <row r="17" spans="1:20">
      <c r="A17" s="233"/>
      <c r="B17" s="20">
        <v>100</v>
      </c>
      <c r="C17" s="20">
        <f t="shared" si="0"/>
        <v>10</v>
      </c>
      <c r="D17" s="87"/>
      <c r="E17" s="20">
        <f t="shared" si="1"/>
        <v>0</v>
      </c>
      <c r="F17" s="17"/>
      <c r="H17" s="233"/>
      <c r="I17" s="20">
        <v>100</v>
      </c>
      <c r="J17" s="20">
        <f t="shared" si="2"/>
        <v>10</v>
      </c>
      <c r="K17" s="87">
        <f t="shared" si="3"/>
        <v>0</v>
      </c>
      <c r="L17" s="20">
        <f t="shared" si="4"/>
        <v>0</v>
      </c>
      <c r="M17" s="17"/>
    </row>
    <row r="18" spans="1:20">
      <c r="A18" s="233"/>
      <c r="B18" s="20">
        <v>112</v>
      </c>
      <c r="C18" s="20">
        <f t="shared" si="0"/>
        <v>11.2</v>
      </c>
      <c r="D18" s="87"/>
      <c r="E18" s="20">
        <f t="shared" si="1"/>
        <v>0</v>
      </c>
      <c r="H18" s="233"/>
      <c r="I18" s="20">
        <v>112</v>
      </c>
      <c r="J18" s="20">
        <f t="shared" si="2"/>
        <v>11.2</v>
      </c>
      <c r="K18" s="87">
        <f t="shared" si="3"/>
        <v>0</v>
      </c>
      <c r="L18" s="20">
        <f t="shared" si="4"/>
        <v>0</v>
      </c>
      <c r="M18" s="17"/>
    </row>
    <row r="19" spans="1:20">
      <c r="A19" s="233"/>
      <c r="B19" s="20">
        <v>125</v>
      </c>
      <c r="C19" s="20">
        <f t="shared" si="0"/>
        <v>12.5</v>
      </c>
      <c r="D19" s="87"/>
      <c r="E19" s="20">
        <f t="shared" si="1"/>
        <v>0</v>
      </c>
      <c r="H19" s="233"/>
      <c r="I19" s="20">
        <v>125</v>
      </c>
      <c r="J19" s="20">
        <f t="shared" si="2"/>
        <v>12.5</v>
      </c>
      <c r="K19" s="87">
        <f t="shared" si="3"/>
        <v>0</v>
      </c>
      <c r="L19" s="20">
        <f t="shared" si="4"/>
        <v>0</v>
      </c>
      <c r="Q19" s="179" t="s">
        <v>395</v>
      </c>
      <c r="R19" s="179"/>
    </row>
    <row r="20" spans="1:20">
      <c r="A20" s="234"/>
      <c r="B20" s="89">
        <v>140</v>
      </c>
      <c r="C20" s="20">
        <f t="shared" si="0"/>
        <v>14</v>
      </c>
      <c r="D20" s="90"/>
      <c r="E20" s="20">
        <f t="shared" si="1"/>
        <v>0</v>
      </c>
      <c r="H20" s="234"/>
      <c r="I20" s="89">
        <v>140</v>
      </c>
      <c r="J20" s="20">
        <f t="shared" si="2"/>
        <v>14</v>
      </c>
      <c r="K20" s="87">
        <f t="shared" si="3"/>
        <v>0</v>
      </c>
      <c r="L20" s="20">
        <f t="shared" si="4"/>
        <v>0</v>
      </c>
    </row>
    <row r="21" spans="1:20">
      <c r="A21" s="91" t="s">
        <v>30</v>
      </c>
      <c r="B21" s="164">
        <f>E21</f>
        <v>128.30000000000001</v>
      </c>
      <c r="C21" s="165"/>
      <c r="D21" s="92" t="s">
        <v>31</v>
      </c>
      <c r="E21" s="93">
        <f>SUM(E4:E20)</f>
        <v>128.30000000000001</v>
      </c>
      <c r="H21" s="20" t="s">
        <v>30</v>
      </c>
      <c r="I21" s="237">
        <f>SUM(L4:L20)</f>
        <v>128.30000000000001</v>
      </c>
      <c r="J21" s="238"/>
      <c r="K21" s="166" t="s">
        <v>31</v>
      </c>
      <c r="L21" s="167"/>
    </row>
    <row r="22" spans="1:20" ht="14.25">
      <c r="T22" s="96" t="s">
        <v>396</v>
      </c>
    </row>
    <row r="23" spans="1:20" ht="15.75">
      <c r="A23" s="232" t="s">
        <v>375</v>
      </c>
      <c r="B23" s="169" t="s">
        <v>376</v>
      </c>
      <c r="C23" s="169"/>
      <c r="D23" s="169"/>
      <c r="E23" s="169"/>
      <c r="F23" s="236" t="s">
        <v>377</v>
      </c>
      <c r="G23" s="236"/>
      <c r="H23" s="232" t="s">
        <v>2</v>
      </c>
      <c r="I23" s="169" t="s">
        <v>3</v>
      </c>
      <c r="J23" s="169"/>
      <c r="K23" s="169"/>
      <c r="L23" s="169"/>
      <c r="N23" s="169" t="s">
        <v>397</v>
      </c>
      <c r="O23" s="169"/>
      <c r="P23" s="169"/>
      <c r="Q23" s="169"/>
      <c r="R23" s="20" t="s">
        <v>398</v>
      </c>
      <c r="T23" s="97" t="s">
        <v>399</v>
      </c>
    </row>
    <row r="24" spans="1:20" ht="15.75">
      <c r="A24" s="233"/>
      <c r="B24" s="20" t="s">
        <v>37</v>
      </c>
      <c r="C24" s="20" t="s">
        <v>7</v>
      </c>
      <c r="D24" s="20" t="s">
        <v>8</v>
      </c>
      <c r="E24" s="20" t="s">
        <v>9</v>
      </c>
      <c r="F24" s="20" t="s">
        <v>379</v>
      </c>
      <c r="G24" s="20" t="s">
        <v>380</v>
      </c>
      <c r="H24" s="233"/>
      <c r="I24" s="20" t="s">
        <v>37</v>
      </c>
      <c r="J24" s="20" t="s">
        <v>7</v>
      </c>
      <c r="K24" s="20" t="s">
        <v>8</v>
      </c>
      <c r="L24" s="20" t="s">
        <v>9</v>
      </c>
      <c r="N24" s="20" t="s">
        <v>379</v>
      </c>
      <c r="O24" s="20" t="s">
        <v>400</v>
      </c>
      <c r="P24" s="20" t="s">
        <v>22</v>
      </c>
      <c r="Q24" s="20" t="s">
        <v>401</v>
      </c>
      <c r="R24" s="20" t="s">
        <v>401</v>
      </c>
      <c r="T24" s="97" t="s">
        <v>402</v>
      </c>
    </row>
    <row r="25" spans="1:20" ht="15.75">
      <c r="A25" s="233"/>
      <c r="B25" s="20">
        <v>22</v>
      </c>
      <c r="C25" s="20">
        <f>B25/10</f>
        <v>2.2000000000000002</v>
      </c>
      <c r="D25" s="87"/>
      <c r="E25" s="20">
        <f>C25*D25</f>
        <v>0</v>
      </c>
      <c r="F25" s="88">
        <f>IF(E42&lt;=5.6,6.35,IF(E42&lt;=30,9.52,IF(E42&lt;=45,12.7,IF(E42&lt;=67,15.9,IF(E42&lt;=135,19.05,IF(E42&lt;=160,22.2,IF(E42&gt;160,25.4)))))))</f>
        <v>6.35</v>
      </c>
      <c r="G25" s="88">
        <f>IF(E42&lt;=5.6,12.7,IF(E42&lt;=14.2,15.9,IF(E42&lt;=22,19.05,IF(E42&lt;=30,22.2,IF(E42&lt;=67,28.6,IF(E42&lt;=95,34.9,IF(E42&lt;=135,41.3,IF(E42&lt;=160,44.5,IF(E42&gt;160,54.1)))))))))</f>
        <v>12.7</v>
      </c>
      <c r="H25" s="233"/>
      <c r="I25" s="20">
        <v>22</v>
      </c>
      <c r="J25" s="20">
        <f>I25/10</f>
        <v>2.2000000000000002</v>
      </c>
      <c r="K25" s="87">
        <f>D25</f>
        <v>0</v>
      </c>
      <c r="L25" s="20">
        <f>J25*K25</f>
        <v>0</v>
      </c>
      <c r="N25" s="20">
        <v>6.35</v>
      </c>
      <c r="O25" s="20">
        <v>2.1999999999999999E-2</v>
      </c>
      <c r="P25" s="87">
        <v>5</v>
      </c>
      <c r="Q25" s="20">
        <f>O25*P25</f>
        <v>0.10999999999999999</v>
      </c>
      <c r="R25" s="20">
        <f>P25*0.4</f>
        <v>2</v>
      </c>
      <c r="T25" s="97" t="s">
        <v>403</v>
      </c>
    </row>
    <row r="26" spans="1:20" ht="15.75">
      <c r="A26" s="233"/>
      <c r="B26" s="20">
        <v>25</v>
      </c>
      <c r="C26" s="20">
        <f t="shared" ref="C26:C41" si="5">B26/10</f>
        <v>2.5</v>
      </c>
      <c r="D26" s="87"/>
      <c r="E26" s="20">
        <f t="shared" ref="E26:E41" si="6">C26*D26</f>
        <v>0</v>
      </c>
      <c r="F26" s="17"/>
      <c r="G26" s="17"/>
      <c r="H26" s="233"/>
      <c r="I26" s="20">
        <v>25</v>
      </c>
      <c r="J26" s="20">
        <f t="shared" ref="J26:J41" si="7">I26/10</f>
        <v>2.5</v>
      </c>
      <c r="K26" s="87">
        <f t="shared" ref="K26:K41" si="8">D26</f>
        <v>0</v>
      </c>
      <c r="L26" s="20">
        <f t="shared" ref="L26:L41" si="9">J26*K26</f>
        <v>0</v>
      </c>
      <c r="N26" s="20">
        <v>9.52</v>
      </c>
      <c r="O26" s="20">
        <v>5.3999999999999999E-2</v>
      </c>
      <c r="P26" s="87"/>
      <c r="Q26" s="20">
        <f t="shared" ref="Q26:Q32" si="10">O26*P26</f>
        <v>0</v>
      </c>
      <c r="R26" s="20">
        <f>P26</f>
        <v>0</v>
      </c>
      <c r="T26" s="97" t="s">
        <v>404</v>
      </c>
    </row>
    <row r="27" spans="1:20" ht="15.75">
      <c r="A27" s="233"/>
      <c r="B27" s="20">
        <v>28</v>
      </c>
      <c r="C27" s="20">
        <f t="shared" si="5"/>
        <v>2.8</v>
      </c>
      <c r="D27" s="87"/>
      <c r="E27" s="20">
        <f t="shared" si="6"/>
        <v>0</v>
      </c>
      <c r="F27" s="20" t="s">
        <v>384</v>
      </c>
      <c r="G27" s="20" t="s">
        <v>385</v>
      </c>
      <c r="H27" s="233"/>
      <c r="I27" s="20">
        <v>28</v>
      </c>
      <c r="J27" s="20">
        <f t="shared" si="7"/>
        <v>2.8</v>
      </c>
      <c r="K27" s="87">
        <f t="shared" si="8"/>
        <v>0</v>
      </c>
      <c r="L27" s="20">
        <f t="shared" si="9"/>
        <v>0</v>
      </c>
      <c r="N27" s="20">
        <v>12.7</v>
      </c>
      <c r="O27" s="20">
        <v>0.11</v>
      </c>
      <c r="P27" s="87">
        <v>16</v>
      </c>
      <c r="Q27" s="20">
        <f t="shared" si="10"/>
        <v>1.76</v>
      </c>
      <c r="R27" s="20">
        <f>P27*2</f>
        <v>32</v>
      </c>
      <c r="T27" s="97" t="s">
        <v>405</v>
      </c>
    </row>
    <row r="28" spans="1:20" ht="15.75">
      <c r="A28" s="233"/>
      <c r="B28" s="20">
        <v>32</v>
      </c>
      <c r="C28" s="20">
        <f t="shared" si="5"/>
        <v>3.2</v>
      </c>
      <c r="D28" s="87"/>
      <c r="E28" s="20">
        <f t="shared" si="6"/>
        <v>0</v>
      </c>
      <c r="F28" s="88" t="str">
        <f>IF(E42&lt;=20,"FQ01A",IF(E42&lt;=30,"FQ01B",IF(E42&lt;=70,"FQ02",IF(E42&lt;=135,"FQ03",IF(E42&gt;135,"FQ04")))))</f>
        <v>FQ01A</v>
      </c>
      <c r="G28" s="88">
        <f>IF(I42&lt;=7.1,20,IF(I42&lt;=18,25,IF(I42&lt;=100,32,IF(I42&lt;=176,40,IF(I42&lt;=598,50,IF(I42&lt;=1055,80,IF(I42&lt;=1512,100,IF(I42&lt;=12462,125))))))))</f>
        <v>20</v>
      </c>
      <c r="H28" s="233"/>
      <c r="I28" s="20">
        <v>32</v>
      </c>
      <c r="J28" s="20">
        <f t="shared" si="7"/>
        <v>3.2</v>
      </c>
      <c r="K28" s="87">
        <f t="shared" si="8"/>
        <v>0</v>
      </c>
      <c r="L28" s="20">
        <f t="shared" si="9"/>
        <v>0</v>
      </c>
      <c r="M28" s="94"/>
      <c r="N28" s="20">
        <v>15.9</v>
      </c>
      <c r="O28" s="20">
        <v>0.17</v>
      </c>
      <c r="P28" s="87"/>
      <c r="Q28" s="20">
        <f t="shared" si="10"/>
        <v>0</v>
      </c>
      <c r="R28" s="232" t="s">
        <v>406</v>
      </c>
      <c r="T28" s="97" t="s">
        <v>407</v>
      </c>
    </row>
    <row r="29" spans="1:20">
      <c r="A29" s="233"/>
      <c r="B29" s="20">
        <v>36</v>
      </c>
      <c r="C29" s="20">
        <f t="shared" si="5"/>
        <v>3.6</v>
      </c>
      <c r="D29" s="87"/>
      <c r="E29" s="20">
        <f t="shared" si="6"/>
        <v>0</v>
      </c>
      <c r="F29" s="17"/>
      <c r="G29" s="17"/>
      <c r="H29" s="233"/>
      <c r="I29" s="20">
        <v>36</v>
      </c>
      <c r="J29" s="20">
        <f t="shared" si="7"/>
        <v>3.6</v>
      </c>
      <c r="K29" s="87">
        <f t="shared" si="8"/>
        <v>0</v>
      </c>
      <c r="L29" s="20">
        <f t="shared" si="9"/>
        <v>0</v>
      </c>
      <c r="M29" s="94"/>
      <c r="N29" s="20">
        <v>19.05</v>
      </c>
      <c r="O29" s="20">
        <v>0.25</v>
      </c>
      <c r="P29" s="87"/>
      <c r="Q29" s="20">
        <f t="shared" si="10"/>
        <v>0</v>
      </c>
      <c r="R29" s="233"/>
    </row>
    <row r="30" spans="1:20">
      <c r="A30" s="233"/>
      <c r="B30" s="20">
        <v>40</v>
      </c>
      <c r="C30" s="20">
        <f t="shared" si="5"/>
        <v>4</v>
      </c>
      <c r="D30" s="87"/>
      <c r="E30" s="20">
        <f t="shared" si="6"/>
        <v>0</v>
      </c>
      <c r="F30" s="17"/>
      <c r="G30" s="17"/>
      <c r="H30" s="233"/>
      <c r="I30" s="20">
        <v>40</v>
      </c>
      <c r="J30" s="20">
        <f t="shared" si="7"/>
        <v>4</v>
      </c>
      <c r="K30" s="87">
        <f t="shared" si="8"/>
        <v>0</v>
      </c>
      <c r="L30" s="20">
        <f t="shared" si="9"/>
        <v>0</v>
      </c>
      <c r="M30" s="94"/>
      <c r="N30" s="20">
        <v>22.2</v>
      </c>
      <c r="O30" s="20">
        <v>0.35</v>
      </c>
      <c r="P30" s="87"/>
      <c r="Q30" s="20">
        <f t="shared" si="10"/>
        <v>0</v>
      </c>
      <c r="R30" s="233"/>
    </row>
    <row r="31" spans="1:20">
      <c r="A31" s="233"/>
      <c r="B31" s="20">
        <v>45</v>
      </c>
      <c r="C31" s="20">
        <f t="shared" si="5"/>
        <v>4.5</v>
      </c>
      <c r="D31" s="87"/>
      <c r="E31" s="20">
        <f t="shared" si="6"/>
        <v>0</v>
      </c>
      <c r="F31" s="17"/>
      <c r="G31" s="17"/>
      <c r="H31" s="233"/>
      <c r="I31" s="20">
        <v>45</v>
      </c>
      <c r="J31" s="20">
        <f t="shared" si="7"/>
        <v>4.5</v>
      </c>
      <c r="K31" s="87">
        <f t="shared" si="8"/>
        <v>0</v>
      </c>
      <c r="L31" s="20">
        <f t="shared" si="9"/>
        <v>0</v>
      </c>
      <c r="M31" s="94"/>
      <c r="N31" s="20">
        <v>25.4</v>
      </c>
      <c r="O31" s="20">
        <v>0.52</v>
      </c>
      <c r="P31" s="87"/>
      <c r="Q31" s="20">
        <f t="shared" si="10"/>
        <v>0</v>
      </c>
      <c r="R31" s="233"/>
    </row>
    <row r="32" spans="1:20">
      <c r="A32" s="233"/>
      <c r="B32" s="20">
        <v>50</v>
      </c>
      <c r="C32" s="20">
        <f t="shared" si="5"/>
        <v>5</v>
      </c>
      <c r="D32" s="87"/>
      <c r="E32" s="20">
        <f t="shared" si="6"/>
        <v>0</v>
      </c>
      <c r="F32" s="17"/>
      <c r="G32" s="17"/>
      <c r="H32" s="233"/>
      <c r="I32" s="20">
        <v>50</v>
      </c>
      <c r="J32" s="20">
        <f t="shared" si="7"/>
        <v>5</v>
      </c>
      <c r="K32" s="87">
        <f t="shared" si="8"/>
        <v>0</v>
      </c>
      <c r="L32" s="20">
        <f t="shared" si="9"/>
        <v>0</v>
      </c>
      <c r="M32" s="94"/>
      <c r="N32" s="20">
        <v>28.6</v>
      </c>
      <c r="O32" s="20">
        <v>0.68</v>
      </c>
      <c r="P32" s="87"/>
      <c r="Q32" s="20">
        <f t="shared" si="10"/>
        <v>0</v>
      </c>
      <c r="R32" s="234"/>
    </row>
    <row r="33" spans="1:29">
      <c r="A33" s="233"/>
      <c r="B33" s="20">
        <v>56</v>
      </c>
      <c r="C33" s="20">
        <f t="shared" si="5"/>
        <v>5.6</v>
      </c>
      <c r="D33" s="87"/>
      <c r="E33" s="20">
        <f t="shared" si="6"/>
        <v>0</v>
      </c>
      <c r="F33" s="17"/>
      <c r="G33" s="17"/>
      <c r="H33" s="233"/>
      <c r="I33" s="20">
        <v>56</v>
      </c>
      <c r="J33" s="20">
        <f t="shared" si="7"/>
        <v>5.6</v>
      </c>
      <c r="K33" s="87">
        <f t="shared" si="8"/>
        <v>0</v>
      </c>
      <c r="L33" s="20">
        <f t="shared" si="9"/>
        <v>0</v>
      </c>
      <c r="N33" s="235" t="s">
        <v>408</v>
      </c>
      <c r="O33" s="235"/>
      <c r="P33" s="235"/>
      <c r="Q33" s="88">
        <f>SUM(Q25:Q32)</f>
        <v>1.87</v>
      </c>
      <c r="R33" s="88">
        <f>SUM(R25:R32)*0.054-50*0.054</f>
        <v>-0.8640000000000001</v>
      </c>
    </row>
    <row r="34" spans="1:29">
      <c r="A34" s="233"/>
      <c r="B34" s="20">
        <v>63</v>
      </c>
      <c r="C34" s="20">
        <f t="shared" si="5"/>
        <v>6.3</v>
      </c>
      <c r="D34" s="87"/>
      <c r="E34" s="20">
        <f t="shared" si="6"/>
        <v>0</v>
      </c>
      <c r="F34" s="17"/>
      <c r="G34" s="17"/>
      <c r="H34" s="233"/>
      <c r="I34" s="20">
        <v>63</v>
      </c>
      <c r="J34" s="20">
        <f t="shared" si="7"/>
        <v>6.3</v>
      </c>
      <c r="K34" s="87">
        <f t="shared" si="8"/>
        <v>0</v>
      </c>
      <c r="L34" s="20">
        <f t="shared" si="9"/>
        <v>0</v>
      </c>
      <c r="N34" s="17"/>
      <c r="O34" s="17"/>
      <c r="Q34" s="20" t="s">
        <v>397</v>
      </c>
      <c r="R34" s="20" t="s">
        <v>398</v>
      </c>
      <c r="T34" s="156" t="s">
        <v>819</v>
      </c>
      <c r="U34" s="11"/>
      <c r="V34" s="11"/>
      <c r="W34" s="11"/>
      <c r="X34" s="11"/>
      <c r="Y34" s="11"/>
      <c r="Z34" s="11"/>
      <c r="AA34" s="11"/>
      <c r="AB34" s="11"/>
      <c r="AC34" s="11"/>
    </row>
    <row r="35" spans="1:29">
      <c r="A35" s="233"/>
      <c r="B35" s="20">
        <v>71</v>
      </c>
      <c r="C35" s="20">
        <f t="shared" si="5"/>
        <v>7.1</v>
      </c>
      <c r="D35" s="87"/>
      <c r="E35" s="20">
        <f t="shared" si="6"/>
        <v>0</v>
      </c>
      <c r="F35" s="17"/>
      <c r="G35" s="17"/>
      <c r="H35" s="233"/>
      <c r="I35" s="20">
        <v>71</v>
      </c>
      <c r="J35" s="20">
        <f t="shared" si="7"/>
        <v>7.1</v>
      </c>
      <c r="K35" s="87">
        <f t="shared" si="8"/>
        <v>0</v>
      </c>
      <c r="L35" s="20">
        <f t="shared" si="9"/>
        <v>0</v>
      </c>
      <c r="T35" s="11" t="s">
        <v>33</v>
      </c>
      <c r="U35" s="11"/>
      <c r="V35" s="11"/>
      <c r="W35" s="11"/>
      <c r="X35" s="11"/>
      <c r="Y35" s="11"/>
      <c r="Z35" s="11"/>
      <c r="AA35" s="11"/>
      <c r="AB35" s="11"/>
      <c r="AC35" s="11"/>
    </row>
    <row r="36" spans="1:29">
      <c r="A36" s="233"/>
      <c r="B36" s="20">
        <v>80</v>
      </c>
      <c r="C36" s="20">
        <f t="shared" si="5"/>
        <v>8</v>
      </c>
      <c r="D36" s="87"/>
      <c r="E36" s="20">
        <f t="shared" si="6"/>
        <v>0</v>
      </c>
      <c r="F36" s="17"/>
      <c r="G36" s="17"/>
      <c r="H36" s="233"/>
      <c r="I36" s="20">
        <v>80</v>
      </c>
      <c r="J36" s="20">
        <f t="shared" si="7"/>
        <v>8</v>
      </c>
      <c r="K36" s="87">
        <f t="shared" si="8"/>
        <v>0</v>
      </c>
      <c r="L36" s="20">
        <f t="shared" si="9"/>
        <v>0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>
      <c r="A37" s="233"/>
      <c r="B37" s="20">
        <v>90</v>
      </c>
      <c r="C37" s="20">
        <f t="shared" si="5"/>
        <v>9</v>
      </c>
      <c r="D37" s="87"/>
      <c r="E37" s="20">
        <f t="shared" si="6"/>
        <v>0</v>
      </c>
      <c r="F37" s="17"/>
      <c r="G37" s="17"/>
      <c r="H37" s="233"/>
      <c r="I37" s="20">
        <v>90</v>
      </c>
      <c r="J37" s="20">
        <f t="shared" si="7"/>
        <v>9</v>
      </c>
      <c r="K37" s="87">
        <f t="shared" si="8"/>
        <v>0</v>
      </c>
      <c r="L37" s="20">
        <f t="shared" si="9"/>
        <v>0</v>
      </c>
      <c r="T37" s="11" t="s">
        <v>34</v>
      </c>
      <c r="U37" s="11"/>
      <c r="V37" s="11"/>
      <c r="W37" s="11"/>
      <c r="X37" s="11"/>
      <c r="Y37" s="11"/>
      <c r="Z37" s="11"/>
      <c r="AA37" s="11"/>
      <c r="AB37" s="11"/>
      <c r="AC37" s="11"/>
    </row>
    <row r="38" spans="1:29">
      <c r="A38" s="233"/>
      <c r="B38" s="20">
        <v>100</v>
      </c>
      <c r="C38" s="20">
        <f t="shared" si="5"/>
        <v>10</v>
      </c>
      <c r="D38" s="87"/>
      <c r="E38" s="20">
        <f t="shared" si="6"/>
        <v>0</v>
      </c>
      <c r="F38" s="17"/>
      <c r="H38" s="233"/>
      <c r="I38" s="20">
        <v>100</v>
      </c>
      <c r="J38" s="20">
        <f t="shared" si="7"/>
        <v>10</v>
      </c>
      <c r="K38" s="87">
        <f t="shared" si="8"/>
        <v>0</v>
      </c>
      <c r="L38" s="20">
        <f t="shared" si="9"/>
        <v>0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>
      <c r="A39" s="233"/>
      <c r="B39" s="20">
        <v>112</v>
      </c>
      <c r="C39" s="20">
        <f t="shared" si="5"/>
        <v>11.2</v>
      </c>
      <c r="D39" s="87"/>
      <c r="E39" s="20">
        <f t="shared" si="6"/>
        <v>0</v>
      </c>
      <c r="H39" s="233"/>
      <c r="I39" s="20">
        <v>112</v>
      </c>
      <c r="J39" s="20">
        <f t="shared" si="7"/>
        <v>11.2</v>
      </c>
      <c r="K39" s="87">
        <f t="shared" si="8"/>
        <v>0</v>
      </c>
      <c r="L39" s="20">
        <f t="shared" si="9"/>
        <v>0</v>
      </c>
      <c r="T39" s="11" t="s">
        <v>45</v>
      </c>
      <c r="U39" s="11"/>
      <c r="V39" s="11"/>
      <c r="W39" s="11"/>
      <c r="X39" s="11"/>
      <c r="Y39" s="11"/>
      <c r="Z39" s="11"/>
      <c r="AA39" s="11"/>
      <c r="AB39" s="11"/>
      <c r="AC39" s="11"/>
    </row>
    <row r="40" spans="1:29">
      <c r="A40" s="233"/>
      <c r="B40" s="20">
        <v>125</v>
      </c>
      <c r="C40" s="20">
        <f t="shared" si="5"/>
        <v>12.5</v>
      </c>
      <c r="D40" s="87"/>
      <c r="E40" s="20">
        <f t="shared" si="6"/>
        <v>0</v>
      </c>
      <c r="H40" s="233"/>
      <c r="I40" s="20">
        <v>125</v>
      </c>
      <c r="J40" s="20">
        <f t="shared" si="7"/>
        <v>12.5</v>
      </c>
      <c r="K40" s="87">
        <f t="shared" si="8"/>
        <v>0</v>
      </c>
      <c r="L40" s="20">
        <f t="shared" si="9"/>
        <v>0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>
      <c r="A41" s="234"/>
      <c r="B41" s="89">
        <v>140</v>
      </c>
      <c r="C41" s="20">
        <f t="shared" si="5"/>
        <v>14</v>
      </c>
      <c r="D41" s="90"/>
      <c r="E41" s="20">
        <f t="shared" si="6"/>
        <v>0</v>
      </c>
      <c r="H41" s="234"/>
      <c r="I41" s="89">
        <v>140</v>
      </c>
      <c r="J41" s="20">
        <f t="shared" si="7"/>
        <v>14</v>
      </c>
      <c r="K41" s="87">
        <f t="shared" si="8"/>
        <v>0</v>
      </c>
      <c r="L41" s="20">
        <f t="shared" si="9"/>
        <v>0</v>
      </c>
      <c r="T41" s="11" t="s">
        <v>52</v>
      </c>
      <c r="U41" s="11"/>
      <c r="V41" s="11"/>
      <c r="W41" s="11"/>
      <c r="X41" s="11"/>
      <c r="Y41" s="11"/>
      <c r="Z41" s="11"/>
      <c r="AA41" s="11"/>
      <c r="AB41" s="11"/>
      <c r="AC41" s="11"/>
    </row>
    <row r="42" spans="1:29">
      <c r="A42" s="91" t="s">
        <v>30</v>
      </c>
      <c r="B42" s="164">
        <f>E42</f>
        <v>0</v>
      </c>
      <c r="C42" s="165"/>
      <c r="D42" s="92" t="s">
        <v>31</v>
      </c>
      <c r="E42" s="93">
        <f>SUM(E25:E41)</f>
        <v>0</v>
      </c>
      <c r="H42" s="20" t="s">
        <v>30</v>
      </c>
      <c r="I42" s="237">
        <f>SUM(L25:L41)</f>
        <v>0</v>
      </c>
      <c r="J42" s="238"/>
      <c r="K42" s="166" t="s">
        <v>31</v>
      </c>
      <c r="L42" s="167"/>
      <c r="T42" s="11" t="s">
        <v>55</v>
      </c>
      <c r="U42" s="11"/>
      <c r="V42" s="11"/>
      <c r="W42" s="11"/>
      <c r="X42" s="11"/>
      <c r="Y42" s="11"/>
      <c r="Z42" s="11"/>
      <c r="AA42" s="11"/>
      <c r="AB42" s="11"/>
      <c r="AC42" s="11"/>
    </row>
    <row r="43" spans="1:29">
      <c r="T43" s="11" t="s">
        <v>59</v>
      </c>
      <c r="U43" s="11"/>
      <c r="V43" s="11"/>
      <c r="W43" s="11"/>
      <c r="X43" s="11"/>
      <c r="Y43" s="11"/>
      <c r="Z43" s="11"/>
      <c r="AA43" s="11"/>
      <c r="AB43" s="11"/>
      <c r="AC43" s="11"/>
    </row>
    <row r="44" spans="1:29">
      <c r="T44" s="11"/>
      <c r="U44" s="11"/>
      <c r="V44" s="11"/>
      <c r="W44" s="11"/>
      <c r="X44" s="11"/>
      <c r="Y44" s="11"/>
      <c r="Z44" s="11"/>
      <c r="AA44" s="11"/>
      <c r="AB44" s="11"/>
      <c r="AC44" s="11"/>
    </row>
  </sheetData>
  <sheetProtection algorithmName="SHA-512" hashValue="0ERn7A73MUowOSBNTl0olqH5PvVjo5u5Wk1yKs1K11n0Emh/+EMZSfNJbtbvnF02TcU7vuSAJzNkav49EggITg==" saltValue="Nahb0VQVI5PfnqFsk1afJA==" spinCount="100000" sheet="1" objects="1" scenarios="1"/>
  <protectedRanges>
    <protectedRange sqref="P25:P32" name="区域3"/>
    <protectedRange sqref="K4:K20 K25:K41" name="区域2"/>
    <protectedRange sqref="D4:D20 D25:D41" name="区域1"/>
  </protectedRanges>
  <mergeCells count="24">
    <mergeCell ref="T15:W15"/>
    <mergeCell ref="Q19:R19"/>
    <mergeCell ref="A1:L1"/>
    <mergeCell ref="M1:Q1"/>
    <mergeCell ref="R1:Z1"/>
    <mergeCell ref="A2:A20"/>
    <mergeCell ref="B42:C42"/>
    <mergeCell ref="I42:J42"/>
    <mergeCell ref="K42:L42"/>
    <mergeCell ref="B21:C21"/>
    <mergeCell ref="I21:J21"/>
    <mergeCell ref="K21:L21"/>
    <mergeCell ref="B23:E23"/>
    <mergeCell ref="F23:G23"/>
    <mergeCell ref="I23:L23"/>
    <mergeCell ref="A23:A41"/>
    <mergeCell ref="H2:H20"/>
    <mergeCell ref="H23:H41"/>
    <mergeCell ref="R28:R32"/>
    <mergeCell ref="N23:Q23"/>
    <mergeCell ref="N33:P33"/>
    <mergeCell ref="B2:E2"/>
    <mergeCell ref="F2:G2"/>
    <mergeCell ref="I2:L2"/>
  </mergeCells>
  <phoneticPr fontId="4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55"/>
  <sheetViews>
    <sheetView workbookViewId="0">
      <selection activeCell="P2" sqref="P2:Y12"/>
    </sheetView>
  </sheetViews>
  <sheetFormatPr defaultColWidth="9" defaultRowHeight="13.5"/>
  <cols>
    <col min="2" max="2" width="13.75" customWidth="1"/>
    <col min="6" max="6" width="12.375" customWidth="1"/>
  </cols>
  <sheetData>
    <row r="1" spans="2:25">
      <c r="C1" s="17"/>
    </row>
    <row r="2" spans="2:25">
      <c r="C2" s="17"/>
      <c r="P2" s="11" t="s">
        <v>32</v>
      </c>
      <c r="Q2" s="11"/>
      <c r="R2" s="11"/>
      <c r="S2" s="11"/>
      <c r="T2" s="11"/>
      <c r="U2" s="11"/>
      <c r="V2" s="11"/>
      <c r="W2" s="11"/>
      <c r="X2" s="11"/>
      <c r="Y2" s="11"/>
    </row>
    <row r="3" spans="2:25">
      <c r="B3" s="21" t="s">
        <v>409</v>
      </c>
      <c r="C3" s="86">
        <v>35</v>
      </c>
      <c r="D3" s="21" t="s">
        <v>410</v>
      </c>
      <c r="E3" s="21"/>
      <c r="F3" s="21" t="s">
        <v>411</v>
      </c>
      <c r="G3" s="86">
        <v>27</v>
      </c>
      <c r="H3" s="21" t="s">
        <v>410</v>
      </c>
      <c r="P3" s="11" t="s">
        <v>33</v>
      </c>
      <c r="Q3" s="11"/>
      <c r="R3" s="11"/>
      <c r="S3" s="11"/>
      <c r="T3" s="11"/>
      <c r="U3" s="11"/>
      <c r="V3" s="11"/>
      <c r="W3" s="11"/>
      <c r="X3" s="11"/>
      <c r="Y3" s="11"/>
    </row>
    <row r="4" spans="2:25">
      <c r="B4" s="21" t="s">
        <v>412</v>
      </c>
      <c r="C4" s="86">
        <v>24</v>
      </c>
      <c r="D4" s="21" t="s">
        <v>410</v>
      </c>
      <c r="E4" s="21"/>
      <c r="F4" s="21" t="s">
        <v>413</v>
      </c>
      <c r="G4" s="86">
        <v>19.5</v>
      </c>
      <c r="H4" s="21" t="s">
        <v>410</v>
      </c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2:25">
      <c r="B5" s="21" t="s">
        <v>414</v>
      </c>
      <c r="C5" s="86">
        <v>72.3</v>
      </c>
      <c r="D5" s="21" t="s">
        <v>415</v>
      </c>
      <c r="E5" s="21"/>
      <c r="F5" s="21" t="s">
        <v>414</v>
      </c>
      <c r="G5" s="86">
        <v>55.9</v>
      </c>
      <c r="H5" s="21" t="s">
        <v>415</v>
      </c>
      <c r="P5" s="11" t="s">
        <v>34</v>
      </c>
      <c r="Q5" s="11"/>
      <c r="R5" s="11"/>
      <c r="S5" s="11"/>
      <c r="T5" s="11"/>
      <c r="U5" s="11"/>
      <c r="V5" s="11"/>
      <c r="W5" s="11"/>
      <c r="X5" s="11"/>
      <c r="Y5" s="11"/>
    </row>
    <row r="6" spans="2:25">
      <c r="B6" s="21"/>
      <c r="C6" s="86"/>
      <c r="D6" s="21"/>
      <c r="E6" s="21"/>
      <c r="F6" s="21"/>
      <c r="G6" s="21"/>
      <c r="H6" s="2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2:25">
      <c r="B7" s="21" t="s">
        <v>416</v>
      </c>
      <c r="C7" s="86">
        <v>1500</v>
      </c>
      <c r="D7" s="21" t="s">
        <v>417</v>
      </c>
      <c r="E7" s="21"/>
      <c r="F7" s="21"/>
      <c r="G7" s="21"/>
      <c r="H7" s="21"/>
      <c r="P7" s="11" t="s">
        <v>45</v>
      </c>
      <c r="Q7" s="11"/>
      <c r="R7" s="11"/>
      <c r="S7" s="11"/>
      <c r="T7" s="11"/>
      <c r="U7" s="11"/>
      <c r="V7" s="11"/>
      <c r="W7" s="11"/>
      <c r="X7" s="11"/>
      <c r="Y7" s="11"/>
    </row>
    <row r="8" spans="2:25">
      <c r="B8" s="21"/>
      <c r="C8" s="20"/>
      <c r="D8" s="21"/>
      <c r="E8" s="21"/>
      <c r="F8" s="21"/>
      <c r="G8" s="21"/>
      <c r="H8" s="2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2:25">
      <c r="B9" s="21" t="s">
        <v>418</v>
      </c>
      <c r="C9" s="20">
        <f>(C5-G5)*C7*1.2/3.6</f>
        <v>8200</v>
      </c>
      <c r="D9" s="21" t="s">
        <v>419</v>
      </c>
      <c r="E9" s="21"/>
      <c r="F9" s="21"/>
      <c r="G9" s="21"/>
      <c r="H9" s="21"/>
      <c r="P9" s="11" t="s">
        <v>52</v>
      </c>
      <c r="Q9" s="11"/>
      <c r="R9" s="11"/>
      <c r="S9" s="11"/>
      <c r="T9" s="11"/>
      <c r="U9" s="11"/>
      <c r="V9" s="11"/>
      <c r="W9" s="11"/>
      <c r="X9" s="11"/>
      <c r="Y9" s="11"/>
    </row>
    <row r="10" spans="2:25">
      <c r="B10" s="21"/>
      <c r="C10" s="20"/>
      <c r="D10" s="21"/>
      <c r="E10" s="21"/>
      <c r="F10" s="21"/>
      <c r="G10" s="21"/>
      <c r="H10" s="21"/>
      <c r="P10" s="11" t="s">
        <v>55</v>
      </c>
      <c r="Q10" s="11"/>
      <c r="R10" s="11"/>
      <c r="S10" s="11"/>
      <c r="T10" s="11"/>
      <c r="U10" s="11"/>
      <c r="V10" s="11"/>
      <c r="W10" s="11"/>
      <c r="X10" s="11"/>
      <c r="Y10" s="11"/>
    </row>
    <row r="11" spans="2:25">
      <c r="C11" s="17"/>
      <c r="P11" s="11" t="s">
        <v>59</v>
      </c>
      <c r="Q11" s="11"/>
      <c r="R11" s="11"/>
      <c r="S11" s="11"/>
      <c r="T11" s="11"/>
      <c r="U11" s="11"/>
      <c r="V11" s="11"/>
      <c r="W11" s="11"/>
      <c r="X11" s="11"/>
      <c r="Y11" s="11"/>
    </row>
    <row r="12" spans="2:25">
      <c r="C12" s="17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2:25">
      <c r="C13" s="17"/>
    </row>
    <row r="14" spans="2:25">
      <c r="C14" s="17"/>
    </row>
    <row r="15" spans="2:25">
      <c r="C15" s="17"/>
    </row>
    <row r="16" spans="2:25">
      <c r="C16" s="17"/>
    </row>
    <row r="17" spans="3:3">
      <c r="C17" s="17"/>
    </row>
    <row r="18" spans="3:3">
      <c r="C18" s="17"/>
    </row>
    <row r="19" spans="3:3">
      <c r="C19" s="17"/>
    </row>
    <row r="20" spans="3:3">
      <c r="C20" s="17"/>
    </row>
    <row r="21" spans="3:3">
      <c r="C21" s="17"/>
    </row>
    <row r="22" spans="3:3">
      <c r="C22" s="17"/>
    </row>
    <row r="23" spans="3:3">
      <c r="C23" s="17"/>
    </row>
    <row r="24" spans="3:3">
      <c r="C24" s="17"/>
    </row>
    <row r="25" spans="3:3">
      <c r="C25" s="17"/>
    </row>
    <row r="26" spans="3:3">
      <c r="C26" s="17"/>
    </row>
    <row r="27" spans="3:3">
      <c r="C27" s="17"/>
    </row>
    <row r="28" spans="3:3">
      <c r="C28" s="17"/>
    </row>
    <row r="29" spans="3:3">
      <c r="C29" s="17"/>
    </row>
    <row r="30" spans="3:3">
      <c r="C30" s="17"/>
    </row>
    <row r="31" spans="3:3">
      <c r="C31" s="17"/>
    </row>
    <row r="32" spans="3:3">
      <c r="C32" s="17"/>
    </row>
    <row r="33" spans="3:3">
      <c r="C33" s="17"/>
    </row>
    <row r="34" spans="3:3">
      <c r="C34" s="17"/>
    </row>
    <row r="35" spans="3:3">
      <c r="C35" s="17"/>
    </row>
    <row r="36" spans="3:3">
      <c r="C36" s="17"/>
    </row>
    <row r="37" spans="3:3">
      <c r="C37" s="17"/>
    </row>
    <row r="38" spans="3:3">
      <c r="C38" s="17"/>
    </row>
    <row r="39" spans="3:3">
      <c r="C39" s="17"/>
    </row>
    <row r="40" spans="3:3">
      <c r="C40" s="17"/>
    </row>
    <row r="41" spans="3:3">
      <c r="C41" s="17"/>
    </row>
    <row r="42" spans="3:3">
      <c r="C42" s="17"/>
    </row>
    <row r="43" spans="3:3">
      <c r="C43" s="17"/>
    </row>
    <row r="44" spans="3:3">
      <c r="C44" s="17"/>
    </row>
    <row r="45" spans="3:3">
      <c r="C45" s="17"/>
    </row>
    <row r="46" spans="3:3">
      <c r="C46" s="17"/>
    </row>
    <row r="47" spans="3:3">
      <c r="C47" s="17"/>
    </row>
    <row r="48" spans="3:3">
      <c r="C48" s="17"/>
    </row>
    <row r="49" spans="3:3">
      <c r="C49" s="17"/>
    </row>
    <row r="50" spans="3:3">
      <c r="C50" s="17"/>
    </row>
    <row r="51" spans="3:3">
      <c r="C51" s="17"/>
    </row>
    <row r="52" spans="3:3">
      <c r="C52" s="17"/>
    </row>
    <row r="53" spans="3:3">
      <c r="C53" s="17"/>
    </row>
    <row r="54" spans="3:3">
      <c r="C54" s="17"/>
    </row>
    <row r="55" spans="3:3">
      <c r="C55" s="17"/>
    </row>
  </sheetData>
  <phoneticPr fontId="49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selection activeCell="D13" sqref="D13"/>
    </sheetView>
  </sheetViews>
  <sheetFormatPr defaultColWidth="9" defaultRowHeight="13.5"/>
  <sheetData>
    <row r="1" spans="1:11" ht="14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4.25">
      <c r="A2" s="64" t="s">
        <v>420</v>
      </c>
      <c r="B2" s="65"/>
      <c r="C2" s="66" t="s">
        <v>421</v>
      </c>
      <c r="D2" s="65"/>
      <c r="E2" s="66" t="s">
        <v>422</v>
      </c>
      <c r="F2" s="65"/>
      <c r="G2" s="66" t="s">
        <v>423</v>
      </c>
      <c r="H2" s="65"/>
      <c r="I2" s="81" t="s">
        <v>424</v>
      </c>
      <c r="J2" s="10"/>
      <c r="K2" s="10"/>
    </row>
    <row r="3" spans="1:11" ht="14.25">
      <c r="A3" s="67">
        <f>E14</f>
        <v>1360000</v>
      </c>
      <c r="B3" s="68"/>
      <c r="C3" s="69">
        <f>SUM(A3*1.163)</f>
        <v>1581680</v>
      </c>
      <c r="D3" s="68"/>
      <c r="E3" s="69">
        <f>SUM(C3/1000)</f>
        <v>1581.68</v>
      </c>
      <c r="F3" s="68"/>
      <c r="G3" s="69">
        <f t="shared" ref="G3:G7" si="0">SUM(E3/1000)</f>
        <v>1.58168</v>
      </c>
      <c r="H3" s="68"/>
      <c r="I3" s="82">
        <f t="shared" ref="I3:I7" si="1">SUM(A3*4.19)</f>
        <v>5698400</v>
      </c>
      <c r="J3" s="10"/>
      <c r="K3" s="10"/>
    </row>
    <row r="4" spans="1:11" ht="14.25">
      <c r="A4" s="70"/>
      <c r="B4" s="68"/>
      <c r="C4" s="71"/>
      <c r="D4" s="68"/>
      <c r="E4" s="71"/>
      <c r="F4" s="68"/>
      <c r="G4" s="71"/>
      <c r="H4" s="68"/>
      <c r="I4" s="83"/>
      <c r="J4" s="10"/>
      <c r="K4" s="10"/>
    </row>
    <row r="5" spans="1:11" ht="14.25">
      <c r="A5" s="72">
        <f>SUM(C5/1.163)</f>
        <v>0.85984522785898498</v>
      </c>
      <c r="B5" s="68"/>
      <c r="C5" s="73">
        <v>1</v>
      </c>
      <c r="D5" s="68"/>
      <c r="E5" s="69">
        <f>SUM(C5/1000)</f>
        <v>1E-3</v>
      </c>
      <c r="F5" s="68"/>
      <c r="G5" s="69">
        <f t="shared" si="0"/>
        <v>9.9999999999999995E-7</v>
      </c>
      <c r="H5" s="68"/>
      <c r="I5" s="82">
        <f t="shared" si="1"/>
        <v>3.6027515047291501</v>
      </c>
      <c r="J5" s="10"/>
      <c r="K5" s="10"/>
    </row>
    <row r="6" spans="1:11" ht="14.25">
      <c r="A6" s="70"/>
      <c r="B6" s="68"/>
      <c r="C6" s="71"/>
      <c r="D6" s="68"/>
      <c r="E6" s="71"/>
      <c r="F6" s="68"/>
      <c r="G6" s="71"/>
      <c r="H6" s="68"/>
      <c r="I6" s="83"/>
      <c r="J6" s="10"/>
      <c r="K6" s="10"/>
    </row>
    <row r="7" spans="1:11" ht="14.25">
      <c r="A7" s="72">
        <f>SUM(E7/1.163*1000)</f>
        <v>859.84522785898503</v>
      </c>
      <c r="B7" s="68"/>
      <c r="C7" s="69">
        <f t="shared" ref="C7:C11" si="2">SUM(A7*1.163)</f>
        <v>1000</v>
      </c>
      <c r="D7" s="68"/>
      <c r="E7" s="73">
        <v>1</v>
      </c>
      <c r="F7" s="68"/>
      <c r="G7" s="69">
        <f t="shared" si="0"/>
        <v>1E-3</v>
      </c>
      <c r="H7" s="68"/>
      <c r="I7" s="82">
        <f t="shared" si="1"/>
        <v>3602.7515047291499</v>
      </c>
      <c r="J7" s="10"/>
      <c r="K7" s="10"/>
    </row>
    <row r="8" spans="1:11" ht="14.25">
      <c r="A8" s="70"/>
      <c r="B8" s="68"/>
      <c r="C8" s="71"/>
      <c r="D8" s="68"/>
      <c r="E8" s="71"/>
      <c r="F8" s="68"/>
      <c r="G8" s="71"/>
      <c r="H8" s="68"/>
      <c r="I8" s="83"/>
      <c r="J8" s="10"/>
      <c r="K8" s="10"/>
    </row>
    <row r="9" spans="1:11" ht="14.25">
      <c r="A9" s="72">
        <f>SUM(G9*1000*1000/1.163)</f>
        <v>859845.22785898496</v>
      </c>
      <c r="B9" s="68"/>
      <c r="C9" s="69">
        <f t="shared" si="2"/>
        <v>1000000</v>
      </c>
      <c r="D9" s="68"/>
      <c r="E9" s="69">
        <f>SUM(C9/1000)</f>
        <v>1000</v>
      </c>
      <c r="F9" s="68"/>
      <c r="G9" s="73">
        <v>1</v>
      </c>
      <c r="H9" s="68"/>
      <c r="I9" s="82">
        <f>SUM(A9*4.19)</f>
        <v>3602751.5047291499</v>
      </c>
      <c r="J9" s="10"/>
      <c r="K9" s="10"/>
    </row>
    <row r="10" spans="1:11" ht="14.25">
      <c r="A10" s="74"/>
      <c r="B10" s="68"/>
      <c r="C10" s="68"/>
      <c r="D10" s="68"/>
      <c r="E10" s="68"/>
      <c r="F10" s="68"/>
      <c r="G10" s="68"/>
      <c r="H10" s="68"/>
      <c r="I10" s="83"/>
      <c r="J10" s="10"/>
      <c r="K10" s="10"/>
    </row>
    <row r="11" spans="1:11" ht="14.25">
      <c r="A11" s="75">
        <f>SUM(I11/4.19)</f>
        <v>0.238663484486873</v>
      </c>
      <c r="B11" s="76"/>
      <c r="C11" s="77">
        <f t="shared" si="2"/>
        <v>0.27756563245823401</v>
      </c>
      <c r="D11" s="76"/>
      <c r="E11" s="77">
        <f>SUM(C11/1000)</f>
        <v>2.7756563245823402E-4</v>
      </c>
      <c r="F11" s="76"/>
      <c r="G11" s="77">
        <f>SUM(E11/1000)</f>
        <v>2.7756563245823403E-7</v>
      </c>
      <c r="H11" s="76"/>
      <c r="I11" s="84">
        <v>1</v>
      </c>
      <c r="J11" s="10"/>
      <c r="K11" s="10"/>
    </row>
    <row r="12" spans="1:11" ht="14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>
      <c r="A13" s="68" t="s">
        <v>425</v>
      </c>
      <c r="B13" s="68" t="s">
        <v>426</v>
      </c>
      <c r="C13" s="68" t="s">
        <v>427</v>
      </c>
      <c r="D13" s="78" t="s">
        <v>428</v>
      </c>
      <c r="E13" s="79" t="s">
        <v>429</v>
      </c>
      <c r="F13" s="239" t="s">
        <v>430</v>
      </c>
      <c r="G13" s="239"/>
      <c r="H13" s="239"/>
      <c r="I13" s="239"/>
      <c r="J13" s="10"/>
      <c r="K13" s="10"/>
    </row>
    <row r="14" spans="1:11" ht="14.25">
      <c r="A14" s="68" t="s">
        <v>429</v>
      </c>
      <c r="B14" s="80">
        <v>1000</v>
      </c>
      <c r="C14" s="80">
        <v>40</v>
      </c>
      <c r="D14" s="68">
        <v>34</v>
      </c>
      <c r="E14" s="68">
        <f>D14*C14*B14</f>
        <v>1360000</v>
      </c>
      <c r="F14" s="10"/>
      <c r="G14" s="10"/>
      <c r="H14" s="10"/>
      <c r="I14" s="10"/>
      <c r="J14" s="10"/>
      <c r="K14" s="10"/>
    </row>
    <row r="15" spans="1:11" ht="14.25">
      <c r="A15" s="10"/>
      <c r="B15" s="10"/>
      <c r="C15" s="10"/>
      <c r="D15" s="10"/>
      <c r="E15" s="240" t="s">
        <v>431</v>
      </c>
      <c r="F15" s="240"/>
      <c r="G15" s="240"/>
      <c r="H15" s="240"/>
      <c r="I15" s="240"/>
      <c r="J15" s="85">
        <f>E3/10</f>
        <v>158.16800000000001</v>
      </c>
      <c r="K15" s="10"/>
    </row>
    <row r="16" spans="1:11" ht="14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4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</sheetData>
  <mergeCells count="2">
    <mergeCell ref="F13:I13"/>
    <mergeCell ref="E15:I15"/>
  </mergeCells>
  <phoneticPr fontId="4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8"/>
  <sheetViews>
    <sheetView workbookViewId="0">
      <selection activeCell="U18" sqref="U18"/>
    </sheetView>
  </sheetViews>
  <sheetFormatPr defaultColWidth="9" defaultRowHeight="13.5"/>
  <cols>
    <col min="16" max="16" width="11.125"/>
  </cols>
  <sheetData>
    <row r="1" spans="1:29" ht="22.5">
      <c r="A1" s="241" t="s">
        <v>432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10"/>
      <c r="Q1" s="10"/>
      <c r="R1" s="10"/>
      <c r="T1" s="11" t="s">
        <v>32</v>
      </c>
      <c r="U1" s="11"/>
      <c r="V1" s="11"/>
      <c r="W1" s="11"/>
      <c r="X1" s="11"/>
      <c r="Y1" s="11"/>
      <c r="Z1" s="11"/>
      <c r="AA1" s="11"/>
      <c r="AB1" s="11"/>
      <c r="AC1" s="11"/>
    </row>
    <row r="2" spans="1:29" ht="16.5">
      <c r="A2" s="247" t="s">
        <v>433</v>
      </c>
      <c r="B2" s="242" t="s">
        <v>434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  <c r="P2" s="10"/>
      <c r="Q2" s="10"/>
      <c r="R2" s="10"/>
      <c r="T2" s="11" t="s">
        <v>33</v>
      </c>
      <c r="U2" s="11"/>
      <c r="V2" s="11"/>
      <c r="W2" s="11"/>
      <c r="X2" s="11"/>
      <c r="Y2" s="11"/>
      <c r="Z2" s="11"/>
      <c r="AA2" s="11"/>
      <c r="AB2" s="11"/>
      <c r="AC2" s="11"/>
    </row>
    <row r="3" spans="1:29" ht="15">
      <c r="A3" s="248"/>
      <c r="B3" s="40" t="s">
        <v>435</v>
      </c>
      <c r="C3" s="40" t="s">
        <v>436</v>
      </c>
      <c r="D3" s="40" t="s">
        <v>437</v>
      </c>
      <c r="E3" s="40" t="s">
        <v>438</v>
      </c>
      <c r="F3" s="40" t="s">
        <v>439</v>
      </c>
      <c r="G3" s="40" t="s">
        <v>440</v>
      </c>
      <c r="H3" s="40" t="s">
        <v>441</v>
      </c>
      <c r="I3" s="40" t="s">
        <v>442</v>
      </c>
      <c r="J3" s="40" t="s">
        <v>443</v>
      </c>
      <c r="K3" s="40" t="s">
        <v>444</v>
      </c>
      <c r="L3" s="40" t="s">
        <v>445</v>
      </c>
      <c r="M3" s="40" t="s">
        <v>446</v>
      </c>
      <c r="N3" s="40" t="s">
        <v>447</v>
      </c>
      <c r="O3" s="54" t="s">
        <v>448</v>
      </c>
      <c r="P3" s="53">
        <v>0.7</v>
      </c>
      <c r="Q3" s="53"/>
      <c r="R3" s="10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>
      <c r="A4" s="41">
        <v>20</v>
      </c>
      <c r="B4" s="42">
        <f t="shared" ref="B4:B21" si="0">A4*A4*0.4*0.00282743</f>
        <v>0.45238879999999998</v>
      </c>
      <c r="C4" s="43">
        <f t="shared" ref="C4:C21" si="1">A4*A4*0.6*0.00282743</f>
        <v>0.67858320000000005</v>
      </c>
      <c r="D4" s="42">
        <f t="shared" ref="D4:D21" si="2">A4*A4*0.8*0.00282743</f>
        <v>0.90477759999999996</v>
      </c>
      <c r="E4" s="42">
        <f t="shared" ref="E4:E21" si="3">A4*A4*1*0.00282743</f>
        <v>1.1309720000000001</v>
      </c>
      <c r="F4" s="42">
        <f t="shared" ref="F4:F21" si="4">A4*A4*1.2*0.00282743</f>
        <v>1.3571664000000001</v>
      </c>
      <c r="G4" s="42">
        <f t="shared" ref="G4:G21" si="5">A4*A4*1.4*0.00282743</f>
        <v>1.5833607999999999</v>
      </c>
      <c r="H4" s="42">
        <f t="shared" ref="H4:H21" si="6">A4*A4*1.6*0.00282743</f>
        <v>1.8095551999999999</v>
      </c>
      <c r="I4" s="42">
        <f t="shared" ref="I4:I21" si="7">A4*A4*1.8*0.00282743</f>
        <v>2.0357495999999999</v>
      </c>
      <c r="J4" s="42">
        <f t="shared" ref="J4:J21" si="8">A4*A4*2*0.00282743</f>
        <v>2.2619440000000002</v>
      </c>
      <c r="K4" s="42">
        <f t="shared" ref="K4:K21" si="9">A4*A4*2.2*0.00282743</f>
        <v>2.4881384</v>
      </c>
      <c r="L4" s="42">
        <f t="shared" ref="L4:L21" si="10">A4*A4*2.4*0.00282743</f>
        <v>2.7143328000000002</v>
      </c>
      <c r="M4" s="42">
        <f t="shared" ref="M4:M21" si="11">A4*A4*2.6*0.00282743</f>
        <v>2.9405272</v>
      </c>
      <c r="N4" s="42">
        <f t="shared" ref="N4:N21" si="12">A4*A4*2.8*0.00282743</f>
        <v>3.1667215999999998</v>
      </c>
      <c r="O4" s="55">
        <f t="shared" ref="O4:O21" si="13">A4*A4*3*0.00282743</f>
        <v>3.392916</v>
      </c>
      <c r="P4" s="53">
        <f>C4/0.7</f>
        <v>0.96940457142857195</v>
      </c>
      <c r="Q4" s="53">
        <v>1</v>
      </c>
      <c r="R4" s="41">
        <v>20</v>
      </c>
      <c r="T4" s="11" t="s">
        <v>34</v>
      </c>
      <c r="U4" s="11"/>
      <c r="V4" s="11"/>
      <c r="W4" s="11"/>
      <c r="X4" s="11"/>
      <c r="Y4" s="11"/>
      <c r="Z4" s="11"/>
      <c r="AA4" s="11"/>
      <c r="AB4" s="11"/>
      <c r="AC4" s="11"/>
    </row>
    <row r="5" spans="1:29">
      <c r="A5" s="44">
        <v>25</v>
      </c>
      <c r="B5" s="45">
        <f t="shared" si="0"/>
        <v>0.70685750000000003</v>
      </c>
      <c r="C5" s="46">
        <f t="shared" si="1"/>
        <v>1.0602862500000001</v>
      </c>
      <c r="D5" s="45">
        <f t="shared" si="2"/>
        <v>1.4137150000000001</v>
      </c>
      <c r="E5" s="45">
        <f t="shared" si="3"/>
        <v>1.76714375</v>
      </c>
      <c r="F5" s="45">
        <f t="shared" si="4"/>
        <v>2.1205725000000002</v>
      </c>
      <c r="G5" s="45">
        <f t="shared" si="5"/>
        <v>2.4740012500000002</v>
      </c>
      <c r="H5" s="45">
        <f t="shared" si="6"/>
        <v>2.8274300000000001</v>
      </c>
      <c r="I5" s="45">
        <f t="shared" si="7"/>
        <v>3.1808587500000001</v>
      </c>
      <c r="J5" s="45">
        <f t="shared" si="8"/>
        <v>3.5342875</v>
      </c>
      <c r="K5" s="45">
        <f t="shared" si="9"/>
        <v>3.88771625</v>
      </c>
      <c r="L5" s="45">
        <f t="shared" si="10"/>
        <v>4.2411450000000004</v>
      </c>
      <c r="M5" s="45">
        <f t="shared" si="11"/>
        <v>4.5945737500000003</v>
      </c>
      <c r="N5" s="45">
        <f t="shared" si="12"/>
        <v>4.9480025000000003</v>
      </c>
      <c r="O5" s="56">
        <f t="shared" si="13"/>
        <v>5.3014312500000003</v>
      </c>
      <c r="P5" s="53">
        <f>C5/0.7</f>
        <v>1.51469464285714</v>
      </c>
      <c r="Q5" s="53">
        <v>2</v>
      </c>
      <c r="R5" s="44">
        <v>25</v>
      </c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>
      <c r="A6" s="41">
        <v>32</v>
      </c>
      <c r="B6" s="42">
        <f t="shared" si="0"/>
        <v>1.1581153280000001</v>
      </c>
      <c r="C6" s="43">
        <f t="shared" si="1"/>
        <v>1.7371729920000001</v>
      </c>
      <c r="D6" s="43">
        <f t="shared" si="2"/>
        <v>2.3162306560000001</v>
      </c>
      <c r="E6" s="42">
        <f t="shared" si="3"/>
        <v>2.8952883200000001</v>
      </c>
      <c r="F6" s="42">
        <f t="shared" si="4"/>
        <v>3.4743459840000002</v>
      </c>
      <c r="G6" s="42">
        <f t="shared" si="5"/>
        <v>4.0534036479999997</v>
      </c>
      <c r="H6" s="42">
        <f t="shared" si="6"/>
        <v>4.6324613120000002</v>
      </c>
      <c r="I6" s="42">
        <f t="shared" si="7"/>
        <v>5.2115189759999998</v>
      </c>
      <c r="J6" s="42">
        <f t="shared" si="8"/>
        <v>5.7905766400000003</v>
      </c>
      <c r="K6" s="42">
        <f t="shared" si="9"/>
        <v>6.3696343039999999</v>
      </c>
      <c r="L6" s="42">
        <f t="shared" si="10"/>
        <v>6.9486919680000003</v>
      </c>
      <c r="M6" s="42">
        <f t="shared" si="11"/>
        <v>7.5277496319999999</v>
      </c>
      <c r="N6" s="42">
        <f t="shared" si="12"/>
        <v>8.1068072959999995</v>
      </c>
      <c r="O6" s="55">
        <f t="shared" si="13"/>
        <v>8.68586496</v>
      </c>
      <c r="P6" s="53">
        <f>D6/0.7</f>
        <v>3.3089009371428602</v>
      </c>
      <c r="Q6" s="53">
        <v>3</v>
      </c>
      <c r="R6" s="41">
        <v>32</v>
      </c>
      <c r="T6" s="11" t="s">
        <v>45</v>
      </c>
      <c r="U6" s="11"/>
      <c r="V6" s="11"/>
      <c r="W6" s="11"/>
      <c r="X6" s="11"/>
      <c r="Y6" s="11"/>
      <c r="Z6" s="11"/>
      <c r="AA6" s="11"/>
      <c r="AB6" s="11"/>
      <c r="AC6" s="11"/>
    </row>
    <row r="7" spans="1:29">
      <c r="A7" s="44">
        <v>40</v>
      </c>
      <c r="B7" s="45">
        <f t="shared" si="0"/>
        <v>1.8095551999999999</v>
      </c>
      <c r="C7" s="45">
        <f t="shared" si="1"/>
        <v>2.7143328000000002</v>
      </c>
      <c r="D7" s="46">
        <f t="shared" si="2"/>
        <v>3.6191103999999998</v>
      </c>
      <c r="E7" s="46">
        <f t="shared" si="3"/>
        <v>4.5238880000000004</v>
      </c>
      <c r="F7" s="45">
        <f t="shared" si="4"/>
        <v>5.4286656000000004</v>
      </c>
      <c r="G7" s="45">
        <f t="shared" si="5"/>
        <v>6.3334431999999996</v>
      </c>
      <c r="H7" s="45">
        <f t="shared" si="6"/>
        <v>7.2382207999999997</v>
      </c>
      <c r="I7" s="45">
        <f t="shared" si="7"/>
        <v>8.1429983999999997</v>
      </c>
      <c r="J7" s="45">
        <f t="shared" si="8"/>
        <v>9.0477760000000007</v>
      </c>
      <c r="K7" s="45">
        <f t="shared" si="9"/>
        <v>9.9525535999999999</v>
      </c>
      <c r="L7" s="45">
        <f t="shared" si="10"/>
        <v>10.857331200000001</v>
      </c>
      <c r="M7" s="45">
        <f t="shared" si="11"/>
        <v>11.7621088</v>
      </c>
      <c r="N7" s="45">
        <f t="shared" si="12"/>
        <v>12.666886399999999</v>
      </c>
      <c r="O7" s="56">
        <f t="shared" si="13"/>
        <v>13.571664</v>
      </c>
      <c r="P7" s="53">
        <f>D7/0.7</f>
        <v>5.1701577142857102</v>
      </c>
      <c r="Q7" s="53">
        <v>5</v>
      </c>
      <c r="R7" s="44">
        <v>40</v>
      </c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A8" s="41">
        <v>50</v>
      </c>
      <c r="B8" s="42">
        <f t="shared" si="0"/>
        <v>2.8274300000000001</v>
      </c>
      <c r="C8" s="42">
        <f t="shared" si="1"/>
        <v>4.2411450000000004</v>
      </c>
      <c r="D8" s="42">
        <f t="shared" si="2"/>
        <v>5.6548600000000002</v>
      </c>
      <c r="E8" s="43">
        <f t="shared" si="3"/>
        <v>7.0685750000000001</v>
      </c>
      <c r="F8" s="43">
        <f t="shared" si="4"/>
        <v>8.4822900000000008</v>
      </c>
      <c r="G8" s="42">
        <f t="shared" si="5"/>
        <v>9.8960050000000006</v>
      </c>
      <c r="H8" s="42">
        <f t="shared" si="6"/>
        <v>11.30972</v>
      </c>
      <c r="I8" s="42">
        <f t="shared" si="7"/>
        <v>12.723435</v>
      </c>
      <c r="J8" s="42">
        <f t="shared" si="8"/>
        <v>14.13715</v>
      </c>
      <c r="K8" s="42">
        <f t="shared" si="9"/>
        <v>15.550865</v>
      </c>
      <c r="L8" s="42">
        <f t="shared" si="10"/>
        <v>16.964580000000002</v>
      </c>
      <c r="M8" s="42">
        <f t="shared" si="11"/>
        <v>18.378295000000001</v>
      </c>
      <c r="N8" s="42">
        <f t="shared" si="12"/>
        <v>19.792010000000001</v>
      </c>
      <c r="O8" s="55">
        <f t="shared" si="13"/>
        <v>21.205725000000001</v>
      </c>
      <c r="P8" s="53">
        <f>E8/P3</f>
        <v>10.097964285714299</v>
      </c>
      <c r="Q8" s="53">
        <v>10</v>
      </c>
      <c r="R8" s="41">
        <v>50</v>
      </c>
      <c r="T8" s="11" t="s">
        <v>52</v>
      </c>
      <c r="U8" s="11"/>
      <c r="V8" s="11"/>
      <c r="W8" s="11"/>
      <c r="X8" s="11"/>
      <c r="Y8" s="11"/>
      <c r="Z8" s="11"/>
      <c r="AA8" s="11"/>
      <c r="AB8" s="11"/>
      <c r="AC8" s="11"/>
    </row>
    <row r="9" spans="1:29">
      <c r="A9" s="44">
        <v>65</v>
      </c>
      <c r="B9" s="45">
        <f t="shared" si="0"/>
        <v>4.7783566999999998</v>
      </c>
      <c r="C9" s="45">
        <f t="shared" si="1"/>
        <v>7.1675350499999997</v>
      </c>
      <c r="D9" s="45">
        <f t="shared" si="2"/>
        <v>9.5567133999999996</v>
      </c>
      <c r="E9" s="45">
        <f t="shared" si="3"/>
        <v>11.945891749999999</v>
      </c>
      <c r="F9" s="46">
        <f t="shared" si="4"/>
        <v>14.335070099999999</v>
      </c>
      <c r="G9" s="46">
        <f t="shared" si="5"/>
        <v>16.724248450000001</v>
      </c>
      <c r="H9" s="45">
        <f t="shared" si="6"/>
        <v>19.113426799999999</v>
      </c>
      <c r="I9" s="45">
        <f t="shared" si="7"/>
        <v>21.502605150000001</v>
      </c>
      <c r="J9" s="45">
        <f t="shared" si="8"/>
        <v>23.891783499999999</v>
      </c>
      <c r="K9" s="45">
        <f t="shared" si="9"/>
        <v>26.280961850000001</v>
      </c>
      <c r="L9" s="45">
        <f t="shared" si="10"/>
        <v>28.670140199999999</v>
      </c>
      <c r="M9" s="45">
        <f t="shared" si="11"/>
        <v>31.05931855</v>
      </c>
      <c r="N9" s="45">
        <f t="shared" si="12"/>
        <v>33.448496900000002</v>
      </c>
      <c r="O9" s="56">
        <f t="shared" si="13"/>
        <v>35.837675249999997</v>
      </c>
      <c r="P9" s="53">
        <f>F9/P3</f>
        <v>20.478671571428599</v>
      </c>
      <c r="Q9" s="53">
        <v>20</v>
      </c>
      <c r="R9" s="44">
        <v>65</v>
      </c>
      <c r="T9" s="11" t="s">
        <v>55</v>
      </c>
      <c r="U9" s="11"/>
      <c r="V9" s="11"/>
      <c r="W9" s="11"/>
      <c r="X9" s="11"/>
      <c r="Y9" s="11"/>
      <c r="Z9" s="11"/>
      <c r="AA9" s="11"/>
      <c r="AB9" s="11"/>
      <c r="AC9" s="11"/>
    </row>
    <row r="10" spans="1:29">
      <c r="A10" s="41">
        <v>80</v>
      </c>
      <c r="B10" s="42">
        <f t="shared" si="0"/>
        <v>7.2382207999999997</v>
      </c>
      <c r="C10" s="42">
        <f t="shared" si="1"/>
        <v>10.857331200000001</v>
      </c>
      <c r="D10" s="42">
        <f t="shared" si="2"/>
        <v>14.476441599999999</v>
      </c>
      <c r="E10" s="42">
        <f t="shared" si="3"/>
        <v>18.095552000000001</v>
      </c>
      <c r="F10" s="43">
        <f t="shared" si="4"/>
        <v>21.714662400000002</v>
      </c>
      <c r="G10" s="43">
        <f t="shared" si="5"/>
        <v>25.333772799999998</v>
      </c>
      <c r="H10" s="43">
        <f t="shared" si="6"/>
        <v>28.952883199999999</v>
      </c>
      <c r="I10" s="42">
        <f t="shared" si="7"/>
        <v>32.571993599999999</v>
      </c>
      <c r="J10" s="42">
        <f t="shared" si="8"/>
        <v>36.191104000000003</v>
      </c>
      <c r="K10" s="42">
        <f t="shared" si="9"/>
        <v>39.8102144</v>
      </c>
      <c r="L10" s="42">
        <f t="shared" si="10"/>
        <v>43.429324800000003</v>
      </c>
      <c r="M10" s="42">
        <f t="shared" si="11"/>
        <v>47.0484352</v>
      </c>
      <c r="N10" s="42">
        <f t="shared" si="12"/>
        <v>50.667545599999997</v>
      </c>
      <c r="O10" s="55">
        <f t="shared" si="13"/>
        <v>54.286656000000001</v>
      </c>
      <c r="P10" s="53">
        <f>F10/P3</f>
        <v>31.020946285714299</v>
      </c>
      <c r="Q10" s="53">
        <v>31</v>
      </c>
      <c r="R10" s="41">
        <v>80</v>
      </c>
      <c r="T10" s="11" t="s">
        <v>59</v>
      </c>
      <c r="U10" s="11"/>
      <c r="V10" s="11"/>
      <c r="W10" s="11"/>
      <c r="X10" s="11"/>
      <c r="Y10" s="11"/>
      <c r="Z10" s="11"/>
      <c r="AA10" s="11"/>
      <c r="AB10" s="11"/>
      <c r="AC10" s="11"/>
    </row>
    <row r="11" spans="1:29">
      <c r="A11" s="44">
        <v>100</v>
      </c>
      <c r="B11" s="45">
        <f t="shared" si="0"/>
        <v>11.30972</v>
      </c>
      <c r="C11" s="45">
        <f t="shared" si="1"/>
        <v>16.964580000000002</v>
      </c>
      <c r="D11" s="45">
        <f t="shared" si="2"/>
        <v>22.619440000000001</v>
      </c>
      <c r="E11" s="45">
        <f t="shared" si="3"/>
        <v>28.2743</v>
      </c>
      <c r="F11" s="45">
        <f t="shared" si="4"/>
        <v>33.929160000000003</v>
      </c>
      <c r="G11" s="46">
        <f t="shared" si="5"/>
        <v>39.584020000000002</v>
      </c>
      <c r="H11" s="46">
        <f t="shared" si="6"/>
        <v>45.238880000000002</v>
      </c>
      <c r="I11" s="46">
        <f t="shared" si="7"/>
        <v>50.893740000000001</v>
      </c>
      <c r="J11" s="45">
        <f t="shared" si="8"/>
        <v>56.5486</v>
      </c>
      <c r="K11" s="45">
        <f t="shared" si="9"/>
        <v>62.20346</v>
      </c>
      <c r="L11" s="45">
        <f t="shared" si="10"/>
        <v>67.858320000000006</v>
      </c>
      <c r="M11" s="45">
        <f t="shared" si="11"/>
        <v>73.513180000000006</v>
      </c>
      <c r="N11" s="45">
        <f t="shared" si="12"/>
        <v>79.168040000000005</v>
      </c>
      <c r="O11" s="56">
        <f t="shared" si="13"/>
        <v>84.822900000000004</v>
      </c>
      <c r="P11" s="53">
        <f>G11/P3</f>
        <v>56.5486</v>
      </c>
      <c r="Q11" s="53">
        <v>56</v>
      </c>
      <c r="R11" s="44">
        <v>100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>
      <c r="A12" s="41">
        <v>125</v>
      </c>
      <c r="B12" s="42">
        <f t="shared" si="0"/>
        <v>17.6714375</v>
      </c>
      <c r="C12" s="42">
        <f t="shared" si="1"/>
        <v>26.507156250000001</v>
      </c>
      <c r="D12" s="42">
        <f t="shared" si="2"/>
        <v>35.342874999999999</v>
      </c>
      <c r="E12" s="42">
        <f t="shared" si="3"/>
        <v>44.178593749999997</v>
      </c>
      <c r="F12" s="42">
        <f t="shared" si="4"/>
        <v>53.014312500000003</v>
      </c>
      <c r="G12" s="42">
        <f t="shared" si="5"/>
        <v>61.850031250000001</v>
      </c>
      <c r="H12" s="43">
        <f t="shared" si="6"/>
        <v>70.685749999999999</v>
      </c>
      <c r="I12" s="43">
        <f t="shared" si="7"/>
        <v>79.521468749999997</v>
      </c>
      <c r="J12" s="43">
        <f t="shared" si="8"/>
        <v>88.357187499999995</v>
      </c>
      <c r="K12" s="42">
        <f t="shared" si="9"/>
        <v>97.192906249999993</v>
      </c>
      <c r="L12" s="42">
        <f t="shared" si="10"/>
        <v>106.02862500000001</v>
      </c>
      <c r="M12" s="42">
        <f t="shared" si="11"/>
        <v>114.86434375</v>
      </c>
      <c r="N12" s="42">
        <f t="shared" si="12"/>
        <v>123.7000625</v>
      </c>
      <c r="O12" s="55">
        <f t="shared" si="13"/>
        <v>132.53578125000001</v>
      </c>
      <c r="P12" s="53">
        <f>H12/P3</f>
        <v>100.97964285714301</v>
      </c>
      <c r="Q12" s="53">
        <v>100</v>
      </c>
      <c r="R12" s="41">
        <v>125</v>
      </c>
    </row>
    <row r="13" spans="1:29">
      <c r="A13" s="44">
        <v>150</v>
      </c>
      <c r="B13" s="45">
        <f t="shared" si="0"/>
        <v>25.446870000000001</v>
      </c>
      <c r="C13" s="45">
        <f t="shared" si="1"/>
        <v>38.170304999999999</v>
      </c>
      <c r="D13" s="45">
        <f t="shared" si="2"/>
        <v>50.893740000000001</v>
      </c>
      <c r="E13" s="45">
        <f t="shared" si="3"/>
        <v>63.617175000000003</v>
      </c>
      <c r="F13" s="45">
        <f t="shared" si="4"/>
        <v>76.340609999999998</v>
      </c>
      <c r="G13" s="45">
        <f t="shared" si="5"/>
        <v>89.064044999999993</v>
      </c>
      <c r="H13" s="46">
        <f t="shared" si="6"/>
        <v>101.78748</v>
      </c>
      <c r="I13" s="46">
        <f t="shared" si="7"/>
        <v>114.510915</v>
      </c>
      <c r="J13" s="46">
        <f t="shared" si="8"/>
        <v>127.23435000000001</v>
      </c>
      <c r="K13" s="57">
        <f t="shared" si="9"/>
        <v>139.957785</v>
      </c>
      <c r="L13" s="45">
        <f t="shared" si="10"/>
        <v>152.68122</v>
      </c>
      <c r="M13" s="45">
        <f t="shared" si="11"/>
        <v>165.40465499999999</v>
      </c>
      <c r="N13" s="45">
        <f t="shared" si="12"/>
        <v>178.12808999999999</v>
      </c>
      <c r="O13" s="56">
        <f t="shared" si="13"/>
        <v>190.85152500000001</v>
      </c>
      <c r="P13" s="53">
        <f>H13/P3</f>
        <v>145.41068571428599</v>
      </c>
      <c r="Q13" s="53">
        <v>145</v>
      </c>
      <c r="R13" s="44">
        <v>150</v>
      </c>
    </row>
    <row r="14" spans="1:29">
      <c r="A14" s="41">
        <v>200</v>
      </c>
      <c r="B14" s="42">
        <f t="shared" si="0"/>
        <v>45.238880000000002</v>
      </c>
      <c r="C14" s="42">
        <f t="shared" si="1"/>
        <v>67.858320000000006</v>
      </c>
      <c r="D14" s="42">
        <f t="shared" si="2"/>
        <v>90.477760000000004</v>
      </c>
      <c r="E14" s="42">
        <f t="shared" si="3"/>
        <v>113.0972</v>
      </c>
      <c r="F14" s="42">
        <f t="shared" si="4"/>
        <v>135.71664000000001</v>
      </c>
      <c r="G14" s="42">
        <f t="shared" si="5"/>
        <v>158.33608000000001</v>
      </c>
      <c r="H14" s="42">
        <f t="shared" si="6"/>
        <v>180.95552000000001</v>
      </c>
      <c r="I14" s="43">
        <f t="shared" si="7"/>
        <v>203.57496</v>
      </c>
      <c r="J14" s="43">
        <f t="shared" si="8"/>
        <v>226.1944</v>
      </c>
      <c r="K14" s="58">
        <f t="shared" si="9"/>
        <v>248.81384</v>
      </c>
      <c r="L14" s="58">
        <f t="shared" si="10"/>
        <v>271.43328000000002</v>
      </c>
      <c r="M14" s="42">
        <f t="shared" si="11"/>
        <v>294.05272000000002</v>
      </c>
      <c r="N14" s="42">
        <f t="shared" si="12"/>
        <v>316.67216000000002</v>
      </c>
      <c r="O14" s="55">
        <f t="shared" si="13"/>
        <v>339.29160000000002</v>
      </c>
      <c r="P14" s="53">
        <f>I14/P3</f>
        <v>290.82137142857101</v>
      </c>
      <c r="Q14" s="53">
        <v>290</v>
      </c>
      <c r="R14" s="41">
        <v>200</v>
      </c>
    </row>
    <row r="15" spans="1:29">
      <c r="A15" s="44">
        <v>250</v>
      </c>
      <c r="B15" s="45">
        <f t="shared" si="0"/>
        <v>70.685749999999999</v>
      </c>
      <c r="C15" s="45">
        <f t="shared" si="1"/>
        <v>106.02862500000001</v>
      </c>
      <c r="D15" s="45">
        <f t="shared" si="2"/>
        <v>141.3715</v>
      </c>
      <c r="E15" s="45">
        <f t="shared" si="3"/>
        <v>176.71437499999999</v>
      </c>
      <c r="F15" s="45">
        <f t="shared" si="4"/>
        <v>212.05725000000001</v>
      </c>
      <c r="G15" s="45">
        <f t="shared" si="5"/>
        <v>247.400125</v>
      </c>
      <c r="H15" s="45">
        <f t="shared" si="6"/>
        <v>282.74299999999999</v>
      </c>
      <c r="I15" s="46">
        <f t="shared" si="7"/>
        <v>318.08587499999999</v>
      </c>
      <c r="J15" s="46">
        <f t="shared" si="8"/>
        <v>353.42874999999998</v>
      </c>
      <c r="K15" s="57">
        <f t="shared" si="9"/>
        <v>388.77162499999997</v>
      </c>
      <c r="L15" s="57">
        <f t="shared" si="10"/>
        <v>424.11450000000002</v>
      </c>
      <c r="M15" s="57">
        <f t="shared" si="11"/>
        <v>459.45737500000001</v>
      </c>
      <c r="N15" s="45">
        <f t="shared" si="12"/>
        <v>494.80025000000001</v>
      </c>
      <c r="O15" s="56">
        <f t="shared" si="13"/>
        <v>530.14312500000005</v>
      </c>
      <c r="P15" s="53">
        <f>I15/P3</f>
        <v>454.40839285714299</v>
      </c>
      <c r="Q15" s="53">
        <v>454</v>
      </c>
      <c r="R15" s="44">
        <v>250</v>
      </c>
    </row>
    <row r="16" spans="1:29">
      <c r="A16" s="41">
        <v>300</v>
      </c>
      <c r="B16" s="42">
        <f t="shared" si="0"/>
        <v>101.78748</v>
      </c>
      <c r="C16" s="42">
        <f t="shared" si="1"/>
        <v>152.68122</v>
      </c>
      <c r="D16" s="42">
        <f t="shared" si="2"/>
        <v>203.57496</v>
      </c>
      <c r="E16" s="42">
        <f t="shared" si="3"/>
        <v>254.46870000000001</v>
      </c>
      <c r="F16" s="42">
        <f t="shared" si="4"/>
        <v>305.36243999999999</v>
      </c>
      <c r="G16" s="42">
        <f t="shared" si="5"/>
        <v>356.25617999999997</v>
      </c>
      <c r="H16" s="42">
        <f t="shared" si="6"/>
        <v>407.14992000000001</v>
      </c>
      <c r="I16" s="42">
        <f t="shared" si="7"/>
        <v>458.04365999999999</v>
      </c>
      <c r="J16" s="43">
        <f t="shared" si="8"/>
        <v>508.93740000000003</v>
      </c>
      <c r="K16" s="58">
        <f t="shared" si="9"/>
        <v>559.83114</v>
      </c>
      <c r="L16" s="58">
        <f t="shared" si="10"/>
        <v>610.72487999999998</v>
      </c>
      <c r="M16" s="58">
        <f t="shared" si="11"/>
        <v>661.61861999999996</v>
      </c>
      <c r="N16" s="58">
        <f t="shared" si="12"/>
        <v>712.51235999999994</v>
      </c>
      <c r="O16" s="55">
        <f t="shared" si="13"/>
        <v>763.40610000000004</v>
      </c>
      <c r="P16" s="53">
        <f>J16/P3</f>
        <v>727.05342857142898</v>
      </c>
      <c r="Q16" s="53">
        <v>727</v>
      </c>
      <c r="R16" s="41">
        <v>300</v>
      </c>
    </row>
    <row r="17" spans="1:18" ht="14.25">
      <c r="A17" s="44">
        <v>350</v>
      </c>
      <c r="B17" s="45">
        <f t="shared" si="0"/>
        <v>138.54407</v>
      </c>
      <c r="C17" s="45">
        <f t="shared" si="1"/>
        <v>207.81610499999999</v>
      </c>
      <c r="D17" s="45">
        <f t="shared" si="2"/>
        <v>277.08814000000001</v>
      </c>
      <c r="E17" s="45">
        <f t="shared" si="3"/>
        <v>346.36017500000003</v>
      </c>
      <c r="F17" s="45">
        <f t="shared" si="4"/>
        <v>415.63220999999999</v>
      </c>
      <c r="G17" s="45">
        <f t="shared" si="5"/>
        <v>484.904245</v>
      </c>
      <c r="H17" s="45">
        <f t="shared" si="6"/>
        <v>554.17628000000002</v>
      </c>
      <c r="I17" s="45">
        <f t="shared" si="7"/>
        <v>623.44831499999998</v>
      </c>
      <c r="J17" s="46">
        <f t="shared" si="8"/>
        <v>692.72035000000005</v>
      </c>
      <c r="K17" s="57">
        <f t="shared" si="9"/>
        <v>761.99238500000001</v>
      </c>
      <c r="L17" s="57">
        <f t="shared" si="10"/>
        <v>831.26441999999997</v>
      </c>
      <c r="M17" s="59">
        <f t="shared" si="11"/>
        <v>900.53645500000005</v>
      </c>
      <c r="N17" s="45">
        <f t="shared" si="12"/>
        <v>969.80849000000001</v>
      </c>
      <c r="O17" s="56">
        <f t="shared" si="13"/>
        <v>1039.0805250000001</v>
      </c>
      <c r="P17" s="53">
        <f>K17/P3</f>
        <v>1088.5605499999999</v>
      </c>
      <c r="Q17" s="53">
        <v>1088</v>
      </c>
      <c r="R17" s="10"/>
    </row>
    <row r="18" spans="1:18" ht="14.25">
      <c r="A18" s="41">
        <v>400</v>
      </c>
      <c r="B18" s="42">
        <f t="shared" si="0"/>
        <v>180.95552000000001</v>
      </c>
      <c r="C18" s="42">
        <f t="shared" si="1"/>
        <v>271.43328000000002</v>
      </c>
      <c r="D18" s="42">
        <f t="shared" si="2"/>
        <v>361.91104000000001</v>
      </c>
      <c r="E18" s="42">
        <f t="shared" si="3"/>
        <v>452.3888</v>
      </c>
      <c r="F18" s="42">
        <f t="shared" si="4"/>
        <v>542.86656000000005</v>
      </c>
      <c r="G18" s="42">
        <f t="shared" si="5"/>
        <v>633.34432000000004</v>
      </c>
      <c r="H18" s="42">
        <f t="shared" si="6"/>
        <v>723.82208000000003</v>
      </c>
      <c r="I18" s="42">
        <f t="shared" si="7"/>
        <v>814.29984000000002</v>
      </c>
      <c r="J18" s="43">
        <f t="shared" si="8"/>
        <v>904.77760000000001</v>
      </c>
      <c r="K18" s="58">
        <f t="shared" si="9"/>
        <v>995.25536</v>
      </c>
      <c r="L18" s="58">
        <f t="shared" si="10"/>
        <v>1085.7331200000001</v>
      </c>
      <c r="M18" s="58">
        <f t="shared" si="11"/>
        <v>1176.2108800000001</v>
      </c>
      <c r="N18" s="42">
        <f t="shared" si="12"/>
        <v>1266.6886400000001</v>
      </c>
      <c r="O18" s="55">
        <f t="shared" si="13"/>
        <v>1357.1664000000001</v>
      </c>
      <c r="P18" s="53">
        <f>K18/P3</f>
        <v>1421.79337142857</v>
      </c>
      <c r="Q18" s="53">
        <v>1421</v>
      </c>
      <c r="R18" s="10"/>
    </row>
    <row r="19" spans="1:18" ht="14.25">
      <c r="A19" s="44">
        <v>450</v>
      </c>
      <c r="B19" s="45">
        <f t="shared" si="0"/>
        <v>229.02182999999999</v>
      </c>
      <c r="C19" s="45">
        <f t="shared" si="1"/>
        <v>343.53274499999998</v>
      </c>
      <c r="D19" s="45">
        <f t="shared" si="2"/>
        <v>458.04365999999999</v>
      </c>
      <c r="E19" s="45">
        <f t="shared" si="3"/>
        <v>572.554575</v>
      </c>
      <c r="F19" s="45">
        <f t="shared" si="4"/>
        <v>687.06548999999995</v>
      </c>
      <c r="G19" s="45">
        <f t="shared" si="5"/>
        <v>801.57640500000002</v>
      </c>
      <c r="H19" s="45">
        <f t="shared" si="6"/>
        <v>916.08731999999998</v>
      </c>
      <c r="I19" s="45">
        <f t="shared" si="7"/>
        <v>1030.5982349999999</v>
      </c>
      <c r="J19" s="59">
        <f t="shared" si="8"/>
        <v>1145.10915</v>
      </c>
      <c r="K19" s="45">
        <f t="shared" si="9"/>
        <v>1259.6200650000001</v>
      </c>
      <c r="L19" s="45">
        <f t="shared" si="10"/>
        <v>1374.1309799999999</v>
      </c>
      <c r="M19" s="45">
        <f t="shared" si="11"/>
        <v>1488.641895</v>
      </c>
      <c r="N19" s="45">
        <f t="shared" si="12"/>
        <v>1603.15281</v>
      </c>
      <c r="O19" s="56">
        <f t="shared" si="13"/>
        <v>1717.6637250000001</v>
      </c>
      <c r="P19" s="10"/>
      <c r="Q19" s="10"/>
      <c r="R19" s="10"/>
    </row>
    <row r="20" spans="1:18" ht="14.25">
      <c r="A20" s="41">
        <v>500</v>
      </c>
      <c r="B20" s="42">
        <f t="shared" si="0"/>
        <v>282.74299999999999</v>
      </c>
      <c r="C20" s="42">
        <f t="shared" si="1"/>
        <v>424.11450000000002</v>
      </c>
      <c r="D20" s="42">
        <f t="shared" si="2"/>
        <v>565.48599999999999</v>
      </c>
      <c r="E20" s="42">
        <f t="shared" si="3"/>
        <v>706.85749999999996</v>
      </c>
      <c r="F20" s="42">
        <f t="shared" si="4"/>
        <v>848.22900000000004</v>
      </c>
      <c r="G20" s="42">
        <f t="shared" si="5"/>
        <v>989.60050000000001</v>
      </c>
      <c r="H20" s="42">
        <f t="shared" si="6"/>
        <v>1130.972</v>
      </c>
      <c r="I20" s="42">
        <f t="shared" si="7"/>
        <v>1272.3434999999999</v>
      </c>
      <c r="J20" s="60">
        <f t="shared" si="8"/>
        <v>1413.7149999999999</v>
      </c>
      <c r="K20" s="42">
        <f t="shared" si="9"/>
        <v>1555.0864999999999</v>
      </c>
      <c r="L20" s="42">
        <f t="shared" si="10"/>
        <v>1696.4580000000001</v>
      </c>
      <c r="M20" s="42">
        <f t="shared" si="11"/>
        <v>1837.8295000000001</v>
      </c>
      <c r="N20" s="42">
        <f t="shared" si="12"/>
        <v>1979.201</v>
      </c>
      <c r="O20" s="55">
        <f t="shared" si="13"/>
        <v>2120.5725000000002</v>
      </c>
      <c r="P20" s="10"/>
      <c r="Q20" s="10"/>
      <c r="R20" s="10"/>
    </row>
    <row r="21" spans="1:18" ht="14.25">
      <c r="A21" s="47">
        <v>600</v>
      </c>
      <c r="B21" s="48">
        <f t="shared" si="0"/>
        <v>407.14992000000001</v>
      </c>
      <c r="C21" s="48">
        <f t="shared" si="1"/>
        <v>610.72487999999998</v>
      </c>
      <c r="D21" s="48">
        <f t="shared" si="2"/>
        <v>814.29984000000002</v>
      </c>
      <c r="E21" s="48">
        <f t="shared" si="3"/>
        <v>1017.8748000000001</v>
      </c>
      <c r="F21" s="48">
        <f t="shared" si="4"/>
        <v>1221.44976</v>
      </c>
      <c r="G21" s="48">
        <f t="shared" si="5"/>
        <v>1425.0247199999999</v>
      </c>
      <c r="H21" s="48">
        <f t="shared" si="6"/>
        <v>1628.59968</v>
      </c>
      <c r="I21" s="48">
        <f t="shared" si="7"/>
        <v>1832.17464</v>
      </c>
      <c r="J21" s="48">
        <f t="shared" si="8"/>
        <v>2035.7496000000001</v>
      </c>
      <c r="K21" s="48">
        <f t="shared" si="9"/>
        <v>2239.32456</v>
      </c>
      <c r="L21" s="48">
        <f t="shared" si="10"/>
        <v>2442.8995199999999</v>
      </c>
      <c r="M21" s="48">
        <f t="shared" si="11"/>
        <v>2646.4744799999999</v>
      </c>
      <c r="N21" s="48">
        <f t="shared" si="12"/>
        <v>2850.0494399999998</v>
      </c>
      <c r="O21" s="61">
        <f t="shared" si="13"/>
        <v>3053.6244000000002</v>
      </c>
      <c r="P21" s="10"/>
      <c r="Q21" s="10"/>
      <c r="R21" s="10"/>
    </row>
    <row r="22" spans="1:18" ht="14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14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4.25">
      <c r="A24" s="249" t="s">
        <v>449</v>
      </c>
      <c r="B24" s="245" t="s">
        <v>450</v>
      </c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6"/>
      <c r="Q24" s="10"/>
      <c r="R24" s="10"/>
    </row>
    <row r="25" spans="1:18" ht="14.25">
      <c r="A25" s="250"/>
      <c r="B25" s="49">
        <v>20</v>
      </c>
      <c r="C25" s="49">
        <v>25</v>
      </c>
      <c r="D25" s="49">
        <v>32</v>
      </c>
      <c r="E25" s="49">
        <v>40</v>
      </c>
      <c r="F25" s="49">
        <v>50</v>
      </c>
      <c r="G25" s="49">
        <v>65</v>
      </c>
      <c r="H25" s="49">
        <v>80</v>
      </c>
      <c r="I25" s="49">
        <v>100</v>
      </c>
      <c r="J25" s="49">
        <v>125</v>
      </c>
      <c r="K25" s="49">
        <v>150</v>
      </c>
      <c r="L25" s="49">
        <v>200</v>
      </c>
      <c r="M25" s="49">
        <v>250</v>
      </c>
      <c r="N25" s="49">
        <v>300</v>
      </c>
      <c r="O25" s="49">
        <v>350</v>
      </c>
      <c r="P25" s="62">
        <v>400</v>
      </c>
      <c r="Q25" s="10"/>
      <c r="R25" s="10"/>
    </row>
    <row r="26" spans="1:18" ht="14.25">
      <c r="A26" s="50" t="s">
        <v>451</v>
      </c>
      <c r="B26" s="49" t="s">
        <v>452</v>
      </c>
      <c r="C26" s="49" t="s">
        <v>453</v>
      </c>
      <c r="D26" s="49" t="s">
        <v>454</v>
      </c>
      <c r="E26" s="49" t="s">
        <v>455</v>
      </c>
      <c r="F26" s="49" t="s">
        <v>456</v>
      </c>
      <c r="G26" s="49" t="s">
        <v>457</v>
      </c>
      <c r="H26" s="49" t="s">
        <v>458</v>
      </c>
      <c r="I26" s="49" t="s">
        <v>459</v>
      </c>
      <c r="J26" s="49" t="s">
        <v>460</v>
      </c>
      <c r="K26" s="49" t="s">
        <v>461</v>
      </c>
      <c r="L26" s="49" t="s">
        <v>462</v>
      </c>
      <c r="M26" s="49" t="s">
        <v>463</v>
      </c>
      <c r="N26" s="49" t="s">
        <v>464</v>
      </c>
      <c r="O26" s="49" t="s">
        <v>465</v>
      </c>
      <c r="P26" s="62" t="s">
        <v>463</v>
      </c>
      <c r="Q26" s="10"/>
      <c r="R26" s="10"/>
    </row>
    <row r="27" spans="1:18" ht="14.25">
      <c r="A27" s="51" t="s">
        <v>466</v>
      </c>
      <c r="B27" s="52" t="s">
        <v>467</v>
      </c>
      <c r="C27" s="52" t="s">
        <v>452</v>
      </c>
      <c r="D27" s="52" t="s">
        <v>468</v>
      </c>
      <c r="E27" s="52" t="s">
        <v>454</v>
      </c>
      <c r="F27" s="52" t="s">
        <v>469</v>
      </c>
      <c r="G27" s="52" t="s">
        <v>456</v>
      </c>
      <c r="H27" s="52" t="s">
        <v>457</v>
      </c>
      <c r="I27" s="52" t="s">
        <v>458</v>
      </c>
      <c r="J27" s="52" t="s">
        <v>470</v>
      </c>
      <c r="K27" s="52" t="s">
        <v>460</v>
      </c>
      <c r="L27" s="52" t="s">
        <v>471</v>
      </c>
      <c r="M27" s="52" t="s">
        <v>472</v>
      </c>
      <c r="N27" s="52" t="s">
        <v>472</v>
      </c>
      <c r="O27" s="52" t="s">
        <v>473</v>
      </c>
      <c r="P27" s="63" t="s">
        <v>474</v>
      </c>
      <c r="Q27" s="10"/>
      <c r="R27" s="10"/>
    </row>
    <row r="28" spans="1:18" ht="14.25">
      <c r="A28" s="5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mergeCells count="5">
    <mergeCell ref="A1:O1"/>
    <mergeCell ref="B2:O2"/>
    <mergeCell ref="B24:P24"/>
    <mergeCell ref="A2:A3"/>
    <mergeCell ref="A24:A25"/>
  </mergeCells>
  <phoneticPr fontId="4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workbookViewId="0">
      <selection activeCell="D13" sqref="D13"/>
    </sheetView>
  </sheetViews>
  <sheetFormatPr defaultColWidth="9" defaultRowHeight="13.5"/>
  <sheetData>
    <row r="1" spans="1:10" ht="20.25">
      <c r="A1" s="252" t="s">
        <v>475</v>
      </c>
      <c r="B1" s="252"/>
      <c r="C1" s="252"/>
      <c r="D1" s="252"/>
      <c r="E1" s="252"/>
      <c r="F1" s="252"/>
      <c r="G1" s="252"/>
      <c r="H1" s="252"/>
      <c r="I1" s="252"/>
      <c r="J1" s="1"/>
    </row>
    <row r="2" spans="1:10" ht="14.25">
      <c r="A2" s="30" t="s">
        <v>28</v>
      </c>
      <c r="B2" s="31" t="s">
        <v>476</v>
      </c>
      <c r="C2" s="31" t="s">
        <v>477</v>
      </c>
      <c r="D2" s="31" t="s">
        <v>478</v>
      </c>
      <c r="E2" s="32" t="s">
        <v>479</v>
      </c>
      <c r="F2" s="33" t="s">
        <v>241</v>
      </c>
      <c r="G2" s="33" t="s">
        <v>480</v>
      </c>
      <c r="H2" s="253" t="s">
        <v>481</v>
      </c>
      <c r="I2" s="254"/>
      <c r="J2" s="1"/>
    </row>
    <row r="3" spans="1:10" ht="14.25">
      <c r="A3" s="30">
        <v>6.35</v>
      </c>
      <c r="B3" s="31">
        <v>0.8</v>
      </c>
      <c r="C3" s="31">
        <v>1</v>
      </c>
      <c r="D3" s="31">
        <f t="shared" ref="D3:D13" si="0">(A3-B3)*B3*0.027945*C3</f>
        <v>0.1240758</v>
      </c>
      <c r="E3" s="35">
        <f t="shared" ref="E3:E13" si="1">1*D3</f>
        <v>0.1240758</v>
      </c>
      <c r="F3" s="36">
        <v>80</v>
      </c>
      <c r="G3" s="35">
        <f t="shared" ref="G3:G13" si="2">E3*F3</f>
        <v>9.9260640000000002</v>
      </c>
      <c r="H3" s="251">
        <v>0.8</v>
      </c>
      <c r="I3" s="251"/>
      <c r="J3" s="1"/>
    </row>
    <row r="4" spans="1:10" ht="14.25">
      <c r="A4" s="30">
        <v>9.5299999999999994</v>
      </c>
      <c r="B4" s="31">
        <v>0.8</v>
      </c>
      <c r="C4" s="31">
        <v>1</v>
      </c>
      <c r="D4" s="31">
        <f t="shared" si="0"/>
        <v>0.19516787999999999</v>
      </c>
      <c r="E4" s="35">
        <f t="shared" si="1"/>
        <v>0.19516787999999999</v>
      </c>
      <c r="F4" s="36">
        <v>80</v>
      </c>
      <c r="G4" s="35">
        <f t="shared" si="2"/>
        <v>15.6134304</v>
      </c>
      <c r="H4" s="251">
        <v>0.8</v>
      </c>
      <c r="I4" s="251"/>
      <c r="J4" s="1"/>
    </row>
    <row r="5" spans="1:10" ht="14.25">
      <c r="A5" s="30">
        <v>12.7</v>
      </c>
      <c r="B5" s="31">
        <v>0.8</v>
      </c>
      <c r="C5" s="31">
        <v>1</v>
      </c>
      <c r="D5" s="31">
        <f t="shared" si="0"/>
        <v>0.26603640000000001</v>
      </c>
      <c r="E5" s="35">
        <f t="shared" si="1"/>
        <v>0.26603640000000001</v>
      </c>
      <c r="F5" s="36">
        <v>80</v>
      </c>
      <c r="G5" s="35">
        <f t="shared" si="2"/>
        <v>21.282912</v>
      </c>
      <c r="H5" s="251">
        <v>0.8</v>
      </c>
      <c r="I5" s="251"/>
      <c r="J5" s="1"/>
    </row>
    <row r="6" spans="1:10" ht="14.25">
      <c r="A6" s="30">
        <v>15.88</v>
      </c>
      <c r="B6" s="31">
        <v>1</v>
      </c>
      <c r="C6" s="31">
        <v>1</v>
      </c>
      <c r="D6" s="31">
        <f t="shared" si="0"/>
        <v>0.41582160000000001</v>
      </c>
      <c r="E6" s="35">
        <f t="shared" si="1"/>
        <v>0.41582160000000001</v>
      </c>
      <c r="F6" s="36">
        <v>80</v>
      </c>
      <c r="G6" s="35">
        <f t="shared" si="2"/>
        <v>33.265728000000003</v>
      </c>
      <c r="H6" s="251">
        <v>1</v>
      </c>
      <c r="I6" s="251"/>
      <c r="J6" s="1"/>
    </row>
    <row r="7" spans="1:10" ht="14.25">
      <c r="A7" s="30">
        <v>19.05</v>
      </c>
      <c r="B7" s="31">
        <v>1</v>
      </c>
      <c r="C7" s="31">
        <v>1</v>
      </c>
      <c r="D7" s="31">
        <f t="shared" si="0"/>
        <v>0.50440724999999997</v>
      </c>
      <c r="E7" s="35">
        <f t="shared" si="1"/>
        <v>0.50440724999999997</v>
      </c>
      <c r="F7" s="36">
        <v>80</v>
      </c>
      <c r="G7" s="35">
        <f t="shared" si="2"/>
        <v>40.352580000000003</v>
      </c>
      <c r="H7" s="251">
        <v>1</v>
      </c>
      <c r="I7" s="251"/>
      <c r="J7" s="1"/>
    </row>
    <row r="8" spans="1:10" ht="14.25">
      <c r="A8" s="30">
        <v>22.2</v>
      </c>
      <c r="B8" s="31">
        <v>1.2</v>
      </c>
      <c r="C8" s="31">
        <v>1</v>
      </c>
      <c r="D8" s="31">
        <f t="shared" si="0"/>
        <v>0.70421400000000001</v>
      </c>
      <c r="E8" s="35">
        <f t="shared" si="1"/>
        <v>0.70421400000000001</v>
      </c>
      <c r="F8" s="36">
        <v>80</v>
      </c>
      <c r="G8" s="35">
        <f t="shared" si="2"/>
        <v>56.337119999999999</v>
      </c>
      <c r="H8" s="251">
        <v>1.2</v>
      </c>
      <c r="I8" s="251"/>
      <c r="J8" s="1"/>
    </row>
    <row r="9" spans="1:10" ht="14.25">
      <c r="A9" s="30">
        <v>25.4</v>
      </c>
      <c r="B9" s="31">
        <v>1.2</v>
      </c>
      <c r="C9" s="31">
        <v>1</v>
      </c>
      <c r="D9" s="31">
        <f t="shared" si="0"/>
        <v>0.81152279999999999</v>
      </c>
      <c r="E9" s="35">
        <f t="shared" si="1"/>
        <v>0.81152279999999999</v>
      </c>
      <c r="F9" s="36">
        <v>80</v>
      </c>
      <c r="G9" s="35">
        <f t="shared" si="2"/>
        <v>64.921824000000001</v>
      </c>
      <c r="H9" s="251">
        <v>1.2</v>
      </c>
      <c r="I9" s="251"/>
      <c r="J9" s="1"/>
    </row>
    <row r="10" spans="1:10" ht="14.25">
      <c r="A10" s="30">
        <v>28.6</v>
      </c>
      <c r="B10" s="31">
        <v>1.4</v>
      </c>
      <c r="C10" s="31">
        <v>1</v>
      </c>
      <c r="D10" s="31">
        <f t="shared" si="0"/>
        <v>1.0641456</v>
      </c>
      <c r="E10" s="35">
        <f t="shared" si="1"/>
        <v>1.0641456</v>
      </c>
      <c r="F10" s="36">
        <v>80</v>
      </c>
      <c r="G10" s="35">
        <f t="shared" si="2"/>
        <v>85.131647999999998</v>
      </c>
      <c r="H10" s="251">
        <v>1.2</v>
      </c>
      <c r="I10" s="251"/>
      <c r="J10" s="1"/>
    </row>
    <row r="11" spans="1:10" ht="14.25">
      <c r="A11" s="30">
        <v>31.75</v>
      </c>
      <c r="B11" s="31">
        <v>1.4</v>
      </c>
      <c r="C11" s="31">
        <v>1</v>
      </c>
      <c r="D11" s="31">
        <f t="shared" si="0"/>
        <v>1.18738305</v>
      </c>
      <c r="E11" s="35">
        <f t="shared" si="1"/>
        <v>1.18738305</v>
      </c>
      <c r="F11" s="36">
        <v>80</v>
      </c>
      <c r="G11" s="35">
        <f t="shared" si="2"/>
        <v>94.990644000000003</v>
      </c>
      <c r="H11" s="251">
        <v>1.3</v>
      </c>
      <c r="I11" s="251"/>
      <c r="J11" s="1"/>
    </row>
    <row r="12" spans="1:10" ht="14.25">
      <c r="A12" s="30">
        <v>38.1</v>
      </c>
      <c r="B12" s="31">
        <v>1.7</v>
      </c>
      <c r="C12" s="31">
        <v>1</v>
      </c>
      <c r="D12" s="31">
        <f t="shared" si="0"/>
        <v>1.7292365999999999</v>
      </c>
      <c r="E12" s="35">
        <f t="shared" si="1"/>
        <v>1.7292365999999999</v>
      </c>
      <c r="F12" s="36">
        <v>80</v>
      </c>
      <c r="G12" s="35">
        <f t="shared" si="2"/>
        <v>138.33892800000001</v>
      </c>
      <c r="H12" s="251">
        <v>1.3</v>
      </c>
      <c r="I12" s="251"/>
      <c r="J12" s="1"/>
    </row>
    <row r="13" spans="1:10" ht="14.25">
      <c r="A13" s="30">
        <v>44.45</v>
      </c>
      <c r="B13" s="31">
        <v>2</v>
      </c>
      <c r="C13" s="31">
        <v>1</v>
      </c>
      <c r="D13" s="31">
        <f t="shared" si="0"/>
        <v>2.3725304999999999</v>
      </c>
      <c r="E13" s="35">
        <f t="shared" si="1"/>
        <v>2.3725304999999999</v>
      </c>
      <c r="F13" s="36">
        <v>80</v>
      </c>
      <c r="G13" s="35">
        <f t="shared" si="2"/>
        <v>189.80243999999999</v>
      </c>
      <c r="H13" s="251"/>
      <c r="I13" s="251"/>
      <c r="J13" s="1"/>
    </row>
    <row r="14" spans="1:10" ht="14.25">
      <c r="A14" s="252" t="s">
        <v>482</v>
      </c>
      <c r="B14" s="252"/>
      <c r="C14" s="252"/>
      <c r="D14" s="252"/>
      <c r="E14" s="252"/>
      <c r="F14" s="252"/>
      <c r="G14" s="252"/>
      <c r="H14" s="252"/>
      <c r="I14" s="252"/>
      <c r="J14" s="1"/>
    </row>
    <row r="15" spans="1:10" ht="14.25">
      <c r="A15" s="252"/>
      <c r="B15" s="252"/>
      <c r="C15" s="252"/>
      <c r="D15" s="252"/>
      <c r="E15" s="252"/>
      <c r="F15" s="252"/>
      <c r="G15" s="252"/>
      <c r="H15" s="252"/>
      <c r="I15" s="252"/>
      <c r="J15" s="1"/>
    </row>
    <row r="16" spans="1:10" ht="14.25">
      <c r="A16" s="2" t="s">
        <v>483</v>
      </c>
      <c r="B16" s="31" t="s">
        <v>476</v>
      </c>
      <c r="C16" s="31" t="s">
        <v>477</v>
      </c>
      <c r="D16" s="31" t="s">
        <v>484</v>
      </c>
      <c r="E16" s="32" t="s">
        <v>485</v>
      </c>
      <c r="F16" s="32" t="s">
        <v>241</v>
      </c>
      <c r="G16" s="32" t="s">
        <v>480</v>
      </c>
      <c r="H16" s="31" t="s">
        <v>486</v>
      </c>
      <c r="I16" s="31" t="s">
        <v>487</v>
      </c>
      <c r="J16" s="1"/>
    </row>
    <row r="17" spans="1:10" ht="14.25">
      <c r="A17" s="2">
        <v>6</v>
      </c>
      <c r="B17" s="31">
        <v>15</v>
      </c>
      <c r="C17" s="31">
        <v>1</v>
      </c>
      <c r="D17" s="31">
        <f t="shared" ref="D17:D33" si="3">(A17+B17)*B17*C17*3.14/1000000</f>
        <v>9.8909999999999992E-4</v>
      </c>
      <c r="E17" s="37">
        <f t="shared" ref="E17:E33" si="4">1*D17</f>
        <v>9.8909999999999992E-4</v>
      </c>
      <c r="F17" s="37">
        <v>1200</v>
      </c>
      <c r="G17" s="37">
        <f t="shared" ref="G17:G33" si="5">F17*E17</f>
        <v>1.18692</v>
      </c>
      <c r="H17" s="5">
        <v>6.35</v>
      </c>
      <c r="I17" s="31"/>
      <c r="J17" s="1"/>
    </row>
    <row r="18" spans="1:10" ht="14.25">
      <c r="A18" s="2">
        <v>10</v>
      </c>
      <c r="B18" s="31">
        <v>15</v>
      </c>
      <c r="C18" s="31">
        <v>1</v>
      </c>
      <c r="D18" s="31">
        <f t="shared" si="3"/>
        <v>1.1774999999999999E-3</v>
      </c>
      <c r="E18" s="37">
        <f t="shared" si="4"/>
        <v>1.1774999999999999E-3</v>
      </c>
      <c r="F18" s="37">
        <v>1200</v>
      </c>
      <c r="G18" s="37">
        <f t="shared" si="5"/>
        <v>1.413</v>
      </c>
      <c r="H18" s="5">
        <v>9.52</v>
      </c>
      <c r="I18" s="31"/>
      <c r="J18" s="1"/>
    </row>
    <row r="19" spans="1:10" ht="14.25">
      <c r="A19" s="2">
        <v>12</v>
      </c>
      <c r="B19" s="31">
        <v>15</v>
      </c>
      <c r="C19" s="31">
        <v>1</v>
      </c>
      <c r="D19" s="31">
        <f t="shared" si="3"/>
        <v>1.2717E-3</v>
      </c>
      <c r="E19" s="37">
        <f t="shared" si="4"/>
        <v>1.2717E-3</v>
      </c>
      <c r="F19" s="37">
        <v>1200</v>
      </c>
      <c r="G19" s="37">
        <f t="shared" si="5"/>
        <v>1.5260400000000001</v>
      </c>
      <c r="H19" s="5">
        <v>12.7</v>
      </c>
      <c r="I19" s="31"/>
      <c r="J19" s="1"/>
    </row>
    <row r="20" spans="1:10" ht="14.25">
      <c r="A20" s="2">
        <v>15</v>
      </c>
      <c r="B20" s="31">
        <v>20</v>
      </c>
      <c r="C20" s="31">
        <v>1</v>
      </c>
      <c r="D20" s="31">
        <f t="shared" si="3"/>
        <v>2.1979999999999999E-3</v>
      </c>
      <c r="E20" s="37">
        <f t="shared" si="4"/>
        <v>2.1979999999999999E-3</v>
      </c>
      <c r="F20" s="37">
        <v>1200</v>
      </c>
      <c r="G20" s="37">
        <f t="shared" si="5"/>
        <v>2.6375999999999999</v>
      </c>
      <c r="H20" s="5">
        <v>15.88</v>
      </c>
      <c r="I20" s="31"/>
      <c r="J20" s="1"/>
    </row>
    <row r="21" spans="1:10" ht="14.25">
      <c r="A21" s="2">
        <v>20</v>
      </c>
      <c r="B21" s="31">
        <v>20</v>
      </c>
      <c r="C21" s="31">
        <v>1</v>
      </c>
      <c r="D21" s="31">
        <f t="shared" si="3"/>
        <v>2.5119999999999999E-3</v>
      </c>
      <c r="E21" s="37">
        <f t="shared" si="4"/>
        <v>2.5119999999999999E-3</v>
      </c>
      <c r="F21" s="37">
        <v>1200</v>
      </c>
      <c r="G21" s="37">
        <f t="shared" si="5"/>
        <v>3.0144000000000002</v>
      </c>
      <c r="H21" s="5">
        <v>19.05</v>
      </c>
      <c r="I21" s="31"/>
      <c r="J21" s="1"/>
    </row>
    <row r="22" spans="1:10" ht="14.25">
      <c r="A22" s="2">
        <v>22</v>
      </c>
      <c r="B22" s="31">
        <v>20</v>
      </c>
      <c r="C22" s="31">
        <v>1</v>
      </c>
      <c r="D22" s="31">
        <f t="shared" si="3"/>
        <v>2.6375999999999999E-3</v>
      </c>
      <c r="E22" s="37">
        <f t="shared" si="4"/>
        <v>2.6375999999999999E-3</v>
      </c>
      <c r="F22" s="37">
        <v>1200</v>
      </c>
      <c r="G22" s="37">
        <f t="shared" si="5"/>
        <v>3.1651199999999999</v>
      </c>
      <c r="H22" s="5">
        <v>22.2</v>
      </c>
      <c r="I22" s="31"/>
      <c r="J22" s="1"/>
    </row>
    <row r="23" spans="1:10" ht="14.25">
      <c r="A23" s="2">
        <v>25</v>
      </c>
      <c r="B23" s="31">
        <v>20</v>
      </c>
      <c r="C23" s="31">
        <v>1</v>
      </c>
      <c r="D23" s="31">
        <f t="shared" si="3"/>
        <v>2.826E-3</v>
      </c>
      <c r="E23" s="37">
        <f t="shared" si="4"/>
        <v>2.826E-3</v>
      </c>
      <c r="F23" s="37">
        <v>1200</v>
      </c>
      <c r="G23" s="37">
        <f t="shared" si="5"/>
        <v>3.3912</v>
      </c>
      <c r="H23" s="5">
        <v>25.4</v>
      </c>
      <c r="I23" s="31"/>
      <c r="J23" s="1"/>
    </row>
    <row r="24" spans="1:10" ht="14.25">
      <c r="A24" s="2">
        <v>28</v>
      </c>
      <c r="B24" s="31">
        <v>20</v>
      </c>
      <c r="C24" s="31">
        <v>1</v>
      </c>
      <c r="D24" s="31">
        <f t="shared" si="3"/>
        <v>3.0144E-3</v>
      </c>
      <c r="E24" s="37">
        <f t="shared" si="4"/>
        <v>3.0144E-3</v>
      </c>
      <c r="F24" s="37">
        <v>1200</v>
      </c>
      <c r="G24" s="37">
        <f t="shared" si="5"/>
        <v>3.6172800000000001</v>
      </c>
      <c r="H24" s="5">
        <v>28.6</v>
      </c>
      <c r="I24" s="31"/>
      <c r="J24" s="1"/>
    </row>
    <row r="25" spans="1:10" ht="14.25">
      <c r="A25" s="2">
        <v>32</v>
      </c>
      <c r="B25" s="31">
        <v>20</v>
      </c>
      <c r="C25" s="31">
        <v>1</v>
      </c>
      <c r="D25" s="31">
        <f t="shared" si="3"/>
        <v>3.2656E-3</v>
      </c>
      <c r="E25" s="37">
        <f t="shared" si="4"/>
        <v>3.2656E-3</v>
      </c>
      <c r="F25" s="37">
        <v>1200</v>
      </c>
      <c r="G25" s="37">
        <f t="shared" si="5"/>
        <v>3.91872</v>
      </c>
      <c r="H25" s="5">
        <v>31.75</v>
      </c>
      <c r="I25" s="31"/>
      <c r="J25" s="1"/>
    </row>
    <row r="26" spans="1:10" ht="14.25">
      <c r="A26" s="2">
        <v>35</v>
      </c>
      <c r="B26" s="31">
        <v>20</v>
      </c>
      <c r="C26" s="31">
        <v>1</v>
      </c>
      <c r="D26" s="31">
        <f t="shared" si="3"/>
        <v>3.454E-3</v>
      </c>
      <c r="E26" s="37">
        <f t="shared" si="4"/>
        <v>3.454E-3</v>
      </c>
      <c r="F26" s="37">
        <v>1200</v>
      </c>
      <c r="G26" s="37">
        <f t="shared" si="5"/>
        <v>4.1448</v>
      </c>
      <c r="H26" s="38">
        <v>34.9</v>
      </c>
      <c r="I26" s="5">
        <v>32</v>
      </c>
      <c r="J26" s="1"/>
    </row>
    <row r="27" spans="1:10" ht="14.25">
      <c r="A27" s="2">
        <v>38</v>
      </c>
      <c r="B27" s="31">
        <v>20</v>
      </c>
      <c r="C27" s="31">
        <v>1</v>
      </c>
      <c r="D27" s="31">
        <f t="shared" si="3"/>
        <v>3.6424000000000001E-3</v>
      </c>
      <c r="E27" s="37">
        <f t="shared" si="4"/>
        <v>3.6424000000000001E-3</v>
      </c>
      <c r="F27" s="37">
        <v>1200</v>
      </c>
      <c r="G27" s="37">
        <f t="shared" si="5"/>
        <v>4.3708799999999997</v>
      </c>
      <c r="H27" s="5">
        <v>38.1</v>
      </c>
      <c r="I27" s="31"/>
      <c r="J27" s="1"/>
    </row>
    <row r="28" spans="1:10" ht="14.25">
      <c r="A28" s="2">
        <v>42</v>
      </c>
      <c r="B28" s="31">
        <v>20</v>
      </c>
      <c r="C28" s="31">
        <v>1</v>
      </c>
      <c r="D28" s="31">
        <f t="shared" si="3"/>
        <v>3.8936000000000001E-3</v>
      </c>
      <c r="E28" s="37">
        <f t="shared" si="4"/>
        <v>3.8936000000000001E-3</v>
      </c>
      <c r="F28" s="37">
        <v>1200</v>
      </c>
      <c r="G28" s="37">
        <f t="shared" si="5"/>
        <v>4.67232</v>
      </c>
      <c r="H28" s="38">
        <v>41.3</v>
      </c>
      <c r="I28" s="5">
        <v>40</v>
      </c>
      <c r="J28" s="1"/>
    </row>
    <row r="29" spans="1:10" ht="14.25">
      <c r="A29" s="2">
        <v>45</v>
      </c>
      <c r="B29" s="31">
        <v>20</v>
      </c>
      <c r="C29" s="31">
        <v>1</v>
      </c>
      <c r="D29" s="31">
        <f t="shared" si="3"/>
        <v>4.0819999999999997E-3</v>
      </c>
      <c r="E29" s="37">
        <f t="shared" si="4"/>
        <v>4.0819999999999997E-3</v>
      </c>
      <c r="F29" s="37">
        <v>1200</v>
      </c>
      <c r="G29" s="37">
        <f t="shared" si="5"/>
        <v>4.8983999999999996</v>
      </c>
      <c r="H29" s="5">
        <v>44.4</v>
      </c>
      <c r="I29" s="31"/>
      <c r="J29" s="1"/>
    </row>
    <row r="30" spans="1:10" ht="14.25">
      <c r="A30" s="2">
        <v>48</v>
      </c>
      <c r="B30" s="31">
        <v>20</v>
      </c>
      <c r="C30" s="31">
        <v>1</v>
      </c>
      <c r="D30" s="31">
        <f t="shared" si="3"/>
        <v>4.2703999999999997E-3</v>
      </c>
      <c r="E30" s="37">
        <f t="shared" si="4"/>
        <v>4.2703999999999997E-3</v>
      </c>
      <c r="F30" s="37">
        <v>1200</v>
      </c>
      <c r="G30" s="37">
        <f t="shared" si="5"/>
        <v>5.1244800000000001</v>
      </c>
      <c r="H30" s="31"/>
      <c r="I30" s="31"/>
      <c r="J30" s="1"/>
    </row>
    <row r="31" spans="1:10" ht="14.25">
      <c r="A31" s="2">
        <v>54</v>
      </c>
      <c r="B31" s="31">
        <v>20</v>
      </c>
      <c r="C31" s="31">
        <v>1</v>
      </c>
      <c r="D31" s="31">
        <f t="shared" si="3"/>
        <v>4.6471999999999998E-3</v>
      </c>
      <c r="E31" s="37">
        <f t="shared" si="4"/>
        <v>4.6471999999999998E-3</v>
      </c>
      <c r="F31" s="37">
        <v>1200</v>
      </c>
      <c r="G31" s="37">
        <f t="shared" si="5"/>
        <v>5.5766400000000003</v>
      </c>
      <c r="H31" s="31"/>
      <c r="I31" s="5">
        <v>50</v>
      </c>
      <c r="J31" s="1"/>
    </row>
    <row r="32" spans="1:10" ht="14.25">
      <c r="A32" s="2">
        <v>57</v>
      </c>
      <c r="B32" s="31">
        <v>20</v>
      </c>
      <c r="C32" s="31">
        <v>1</v>
      </c>
      <c r="D32" s="31">
        <f t="shared" si="3"/>
        <v>4.8355999999999998E-3</v>
      </c>
      <c r="E32" s="37">
        <f t="shared" si="4"/>
        <v>4.8355999999999998E-3</v>
      </c>
      <c r="F32" s="37">
        <v>1200</v>
      </c>
      <c r="G32" s="37">
        <f t="shared" si="5"/>
        <v>5.8027199999999999</v>
      </c>
      <c r="H32" s="31"/>
      <c r="I32" s="31"/>
      <c r="J32" s="1"/>
    </row>
    <row r="33" spans="1:10" ht="14.25">
      <c r="A33" s="2">
        <v>60</v>
      </c>
      <c r="B33" s="31">
        <v>20</v>
      </c>
      <c r="C33" s="31">
        <v>1</v>
      </c>
      <c r="D33" s="31">
        <f t="shared" si="3"/>
        <v>5.0239999999999998E-3</v>
      </c>
      <c r="E33" s="37">
        <f t="shared" si="4"/>
        <v>5.0239999999999998E-3</v>
      </c>
      <c r="F33" s="37">
        <v>1200</v>
      </c>
      <c r="G33" s="37">
        <f t="shared" si="5"/>
        <v>6.0288000000000004</v>
      </c>
      <c r="H33" s="31"/>
      <c r="I33" s="31"/>
      <c r="J33" s="1"/>
    </row>
    <row r="34" spans="1:10" ht="14.25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14">
    <mergeCell ref="A1:I1"/>
    <mergeCell ref="H2:I2"/>
    <mergeCell ref="H3:I3"/>
    <mergeCell ref="H4:I4"/>
    <mergeCell ref="H5:I5"/>
    <mergeCell ref="H11:I11"/>
    <mergeCell ref="H12:I12"/>
    <mergeCell ref="H13:I13"/>
    <mergeCell ref="A14:I15"/>
    <mergeCell ref="H6:I6"/>
    <mergeCell ref="H7:I7"/>
    <mergeCell ref="H8:I8"/>
    <mergeCell ref="H9:I9"/>
    <mergeCell ref="H10:I10"/>
  </mergeCells>
  <phoneticPr fontId="49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B28"/>
  <sheetViews>
    <sheetView workbookViewId="0">
      <selection activeCell="T20" sqref="T20"/>
    </sheetView>
  </sheetViews>
  <sheetFormatPr defaultColWidth="9" defaultRowHeight="13.5"/>
  <cols>
    <col min="3" max="3" width="27.625" customWidth="1"/>
    <col min="7" max="7" width="16.625" customWidth="1"/>
    <col min="8" max="8" width="15.375" customWidth="1"/>
    <col min="9" max="9" width="10.875" customWidth="1"/>
    <col min="10" max="10" width="11.5" customWidth="1"/>
  </cols>
  <sheetData>
    <row r="2" spans="1:28" ht="18.75">
      <c r="A2" s="259" t="s">
        <v>488</v>
      </c>
      <c r="B2" s="259"/>
      <c r="C2" s="259"/>
      <c r="F2" s="256" t="s">
        <v>489</v>
      </c>
      <c r="G2" s="256"/>
      <c r="H2" s="16"/>
      <c r="I2" s="16"/>
      <c r="L2" s="26" t="s">
        <v>490</v>
      </c>
      <c r="M2" s="260" t="s">
        <v>491</v>
      </c>
      <c r="N2" s="261"/>
      <c r="O2" s="261"/>
      <c r="P2" s="261"/>
      <c r="Q2" s="262"/>
    </row>
    <row r="3" spans="1:28" ht="18.75">
      <c r="A3" t="s">
        <v>492</v>
      </c>
      <c r="B3" t="s">
        <v>493</v>
      </c>
      <c r="C3" t="s">
        <v>494</v>
      </c>
      <c r="F3" s="257"/>
      <c r="G3" s="257"/>
      <c r="H3" s="16"/>
      <c r="I3" s="16"/>
      <c r="L3" s="27" t="s">
        <v>495</v>
      </c>
      <c r="M3" s="28" t="s">
        <v>496</v>
      </c>
      <c r="N3" s="28" t="s">
        <v>497</v>
      </c>
      <c r="O3" s="28" t="s">
        <v>498</v>
      </c>
      <c r="P3" s="28" t="s">
        <v>499</v>
      </c>
      <c r="Q3" s="28" t="s">
        <v>500</v>
      </c>
    </row>
    <row r="4" spans="1:28" ht="14.25">
      <c r="A4" s="179" t="s">
        <v>501</v>
      </c>
      <c r="B4" s="179"/>
      <c r="C4" s="179"/>
      <c r="F4" s="18" t="s">
        <v>502</v>
      </c>
      <c r="G4" s="18" t="s">
        <v>503</v>
      </c>
      <c r="L4" s="27" t="s">
        <v>504</v>
      </c>
      <c r="M4" s="28" t="s">
        <v>505</v>
      </c>
      <c r="N4" s="28" t="s">
        <v>506</v>
      </c>
      <c r="O4" s="28" t="s">
        <v>507</v>
      </c>
      <c r="P4" s="28" t="s">
        <v>508</v>
      </c>
      <c r="Q4" s="28" t="s">
        <v>509</v>
      </c>
      <c r="S4" s="11" t="s">
        <v>32</v>
      </c>
      <c r="T4" s="11"/>
      <c r="U4" s="11"/>
      <c r="V4" s="11"/>
      <c r="W4" s="11"/>
      <c r="X4" s="11"/>
      <c r="Y4" s="11"/>
      <c r="Z4" s="11"/>
      <c r="AA4" s="11"/>
      <c r="AB4" s="11"/>
    </row>
    <row r="5" spans="1:28" ht="14.25">
      <c r="A5" s="179"/>
      <c r="B5" s="179"/>
      <c r="C5" s="179"/>
      <c r="F5" s="18" t="s">
        <v>510</v>
      </c>
      <c r="G5" s="18"/>
      <c r="L5" s="27" t="s">
        <v>511</v>
      </c>
      <c r="M5" s="28" t="s">
        <v>512</v>
      </c>
      <c r="N5" s="28" t="s">
        <v>513</v>
      </c>
      <c r="O5" s="28" t="s">
        <v>514</v>
      </c>
      <c r="P5" s="28" t="s">
        <v>515</v>
      </c>
      <c r="Q5" s="28" t="s">
        <v>516</v>
      </c>
      <c r="S5" s="11" t="s">
        <v>33</v>
      </c>
      <c r="T5" s="11"/>
      <c r="U5" s="11"/>
      <c r="V5" s="11"/>
      <c r="W5" s="11"/>
      <c r="X5" s="11"/>
      <c r="Y5" s="11"/>
      <c r="Z5" s="11"/>
      <c r="AA5" s="11"/>
      <c r="AB5" s="11"/>
    </row>
    <row r="6" spans="1:28" ht="14.25">
      <c r="A6" t="s">
        <v>517</v>
      </c>
      <c r="F6" s="263" t="s">
        <v>518</v>
      </c>
      <c r="G6" s="264"/>
      <c r="L6" s="27" t="s">
        <v>519</v>
      </c>
      <c r="M6" s="28" t="s">
        <v>520</v>
      </c>
      <c r="N6" s="28" t="s">
        <v>521</v>
      </c>
      <c r="O6" s="28" t="s">
        <v>522</v>
      </c>
      <c r="P6" s="28" t="s">
        <v>523</v>
      </c>
      <c r="Q6" s="28" t="s">
        <v>524</v>
      </c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4.25">
      <c r="A7" s="179" t="s">
        <v>525</v>
      </c>
      <c r="B7" s="179"/>
      <c r="C7" s="179"/>
      <c r="F7" s="263" t="s">
        <v>526</v>
      </c>
      <c r="G7" s="264"/>
      <c r="L7" s="27" t="s">
        <v>527</v>
      </c>
      <c r="M7" s="28" t="s">
        <v>528</v>
      </c>
      <c r="N7" s="28" t="s">
        <v>529</v>
      </c>
      <c r="O7" s="28" t="s">
        <v>530</v>
      </c>
      <c r="P7" s="28" t="s">
        <v>531</v>
      </c>
      <c r="Q7" s="28" t="s">
        <v>532</v>
      </c>
      <c r="S7" s="11" t="s">
        <v>34</v>
      </c>
      <c r="T7" s="11"/>
      <c r="U7" s="11"/>
      <c r="V7" s="11"/>
      <c r="W7" s="11"/>
      <c r="X7" s="11"/>
      <c r="Y7" s="11"/>
      <c r="Z7" s="11"/>
      <c r="AA7" s="11"/>
      <c r="AB7" s="11"/>
    </row>
    <row r="8" spans="1:28" ht="14.25">
      <c r="A8" s="179"/>
      <c r="B8" s="179"/>
      <c r="C8" s="179"/>
      <c r="F8" s="263" t="s">
        <v>533</v>
      </c>
      <c r="G8" s="264"/>
      <c r="L8" s="27" t="s">
        <v>534</v>
      </c>
      <c r="M8" s="28" t="s">
        <v>535</v>
      </c>
      <c r="N8" s="28" t="s">
        <v>536</v>
      </c>
      <c r="O8" s="28" t="s">
        <v>537</v>
      </c>
      <c r="P8" s="28" t="s">
        <v>538</v>
      </c>
      <c r="Q8" s="28" t="s">
        <v>539</v>
      </c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4.25">
      <c r="A9" t="s">
        <v>540</v>
      </c>
      <c r="F9" s="265" t="s">
        <v>541</v>
      </c>
      <c r="G9" s="265"/>
      <c r="L9" s="27" t="s">
        <v>542</v>
      </c>
      <c r="M9" s="28" t="s">
        <v>543</v>
      </c>
      <c r="N9" s="28" t="s">
        <v>544</v>
      </c>
      <c r="O9" s="28" t="s">
        <v>545</v>
      </c>
      <c r="P9" s="28" t="s">
        <v>546</v>
      </c>
      <c r="Q9" s="28" t="s">
        <v>547</v>
      </c>
      <c r="S9" s="11" t="s">
        <v>45</v>
      </c>
      <c r="T9" s="11"/>
      <c r="U9" s="11"/>
      <c r="V9" s="11"/>
      <c r="W9" s="11"/>
      <c r="X9" s="11"/>
      <c r="Y9" s="11"/>
      <c r="Z9" s="11"/>
      <c r="AA9" s="11"/>
      <c r="AB9" s="11"/>
    </row>
    <row r="10" spans="1:28">
      <c r="A10" s="179" t="s">
        <v>548</v>
      </c>
      <c r="B10" s="179"/>
      <c r="C10" s="179"/>
      <c r="L10" s="27" t="s">
        <v>549</v>
      </c>
      <c r="M10" s="28" t="s">
        <v>550</v>
      </c>
      <c r="N10" s="28" t="s">
        <v>551</v>
      </c>
      <c r="O10" s="28" t="s">
        <v>552</v>
      </c>
      <c r="P10" s="28" t="s">
        <v>553</v>
      </c>
      <c r="Q10" s="28" t="s">
        <v>554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>
      <c r="A11" s="179"/>
      <c r="B11" s="179"/>
      <c r="C11" s="179"/>
      <c r="L11" s="27" t="s">
        <v>555</v>
      </c>
      <c r="M11" s="28" t="s">
        <v>556</v>
      </c>
      <c r="N11" s="28" t="s">
        <v>557</v>
      </c>
      <c r="O11" s="28" t="s">
        <v>558</v>
      </c>
      <c r="P11" s="28" t="s">
        <v>559</v>
      </c>
      <c r="Q11" s="28" t="s">
        <v>560</v>
      </c>
      <c r="S11" s="11" t="s">
        <v>52</v>
      </c>
      <c r="T11" s="11"/>
      <c r="U11" s="11"/>
      <c r="V11" s="11"/>
      <c r="W11" s="11"/>
      <c r="X11" s="11"/>
      <c r="Y11" s="11"/>
      <c r="Z11" s="11"/>
      <c r="AA11" s="11"/>
      <c r="AB11" s="11"/>
    </row>
    <row r="12" spans="1:28">
      <c r="L12" s="27" t="s">
        <v>561</v>
      </c>
      <c r="M12" s="28" t="s">
        <v>562</v>
      </c>
      <c r="N12" s="28" t="s">
        <v>563</v>
      </c>
      <c r="O12" s="28" t="s">
        <v>564</v>
      </c>
      <c r="P12" s="28" t="s">
        <v>565</v>
      </c>
      <c r="Q12" s="28" t="s">
        <v>566</v>
      </c>
      <c r="S12" s="11" t="s">
        <v>55</v>
      </c>
      <c r="T12" s="11"/>
      <c r="U12" s="11"/>
      <c r="V12" s="11"/>
      <c r="W12" s="11"/>
      <c r="X12" s="11"/>
      <c r="Y12" s="11"/>
      <c r="Z12" s="11"/>
      <c r="AA12" s="11"/>
      <c r="AB12" s="11"/>
    </row>
    <row r="13" spans="1:28">
      <c r="A13" s="258" t="s">
        <v>567</v>
      </c>
      <c r="B13" s="258"/>
      <c r="C13" s="258"/>
      <c r="L13" s="27" t="s">
        <v>568</v>
      </c>
      <c r="M13" s="28" t="s">
        <v>569</v>
      </c>
      <c r="N13" s="28" t="s">
        <v>570</v>
      </c>
      <c r="O13" s="28" t="s">
        <v>571</v>
      </c>
      <c r="P13" s="28" t="s">
        <v>572</v>
      </c>
      <c r="Q13" s="28" t="s">
        <v>573</v>
      </c>
      <c r="S13" s="11" t="s">
        <v>59</v>
      </c>
      <c r="T13" s="11"/>
      <c r="U13" s="11"/>
      <c r="V13" s="11"/>
      <c r="W13" s="11"/>
      <c r="X13" s="11"/>
      <c r="Y13" s="11"/>
      <c r="Z13" s="11"/>
      <c r="AA13" s="11"/>
      <c r="AB13" s="11"/>
    </row>
    <row r="14" spans="1:28">
      <c r="A14" s="258"/>
      <c r="B14" s="258"/>
      <c r="C14" s="258"/>
      <c r="L14" s="27" t="s">
        <v>574</v>
      </c>
      <c r="M14" s="28" t="s">
        <v>575</v>
      </c>
      <c r="N14" s="28" t="s">
        <v>576</v>
      </c>
      <c r="O14" s="28" t="s">
        <v>577</v>
      </c>
      <c r="P14" s="28" t="s">
        <v>578</v>
      </c>
      <c r="Q14" s="28" t="s">
        <v>579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>
      <c r="L15" s="27" t="s">
        <v>580</v>
      </c>
      <c r="M15" s="28" t="s">
        <v>581</v>
      </c>
      <c r="N15" s="28" t="s">
        <v>582</v>
      </c>
      <c r="O15" s="28" t="s">
        <v>583</v>
      </c>
      <c r="P15" s="28" t="s">
        <v>584</v>
      </c>
      <c r="Q15" s="28" t="s">
        <v>585</v>
      </c>
    </row>
    <row r="16" spans="1:28" ht="18.75">
      <c r="A16" s="16" t="s">
        <v>586</v>
      </c>
      <c r="G16" s="169" t="s">
        <v>587</v>
      </c>
      <c r="H16" s="169"/>
      <c r="I16" s="169"/>
      <c r="J16" s="169"/>
      <c r="L16" s="27" t="s">
        <v>588</v>
      </c>
      <c r="M16" s="28" t="s">
        <v>589</v>
      </c>
      <c r="N16" s="28" t="s">
        <v>590</v>
      </c>
      <c r="O16" s="28" t="s">
        <v>591</v>
      </c>
      <c r="P16" s="28" t="s">
        <v>592</v>
      </c>
      <c r="Q16" s="28" t="s">
        <v>593</v>
      </c>
    </row>
    <row r="17" spans="1:17">
      <c r="A17" s="21" t="s">
        <v>594</v>
      </c>
      <c r="B17" s="22">
        <v>500</v>
      </c>
      <c r="C17" s="23" t="s">
        <v>495</v>
      </c>
      <c r="D17" s="255" t="s">
        <v>595</v>
      </c>
      <c r="E17" s="255"/>
      <c r="F17" s="19"/>
      <c r="G17" s="21" t="s">
        <v>596</v>
      </c>
      <c r="H17" s="21" t="s">
        <v>597</v>
      </c>
      <c r="I17" s="21" t="s">
        <v>598</v>
      </c>
      <c r="J17" s="21" t="s">
        <v>599</v>
      </c>
      <c r="L17" s="27" t="s">
        <v>600</v>
      </c>
      <c r="M17" s="28" t="s">
        <v>601</v>
      </c>
      <c r="N17" s="29" t="s">
        <v>602</v>
      </c>
      <c r="O17" s="29" t="s">
        <v>603</v>
      </c>
      <c r="P17" s="29" t="s">
        <v>604</v>
      </c>
      <c r="Q17" s="29" t="s">
        <v>605</v>
      </c>
    </row>
    <row r="18" spans="1:17">
      <c r="A18" s="21" t="s">
        <v>606</v>
      </c>
      <c r="B18" s="22">
        <v>10</v>
      </c>
      <c r="C18" s="23" t="s">
        <v>607</v>
      </c>
      <c r="D18" s="255"/>
      <c r="E18" s="255"/>
      <c r="F18" s="19"/>
      <c r="G18" s="21" t="s">
        <v>608</v>
      </c>
      <c r="H18" s="21" t="s">
        <v>609</v>
      </c>
      <c r="I18" s="21" t="s">
        <v>610</v>
      </c>
      <c r="J18" s="21" t="s">
        <v>611</v>
      </c>
      <c r="L18" s="27" t="s">
        <v>612</v>
      </c>
      <c r="M18" s="28" t="s">
        <v>613</v>
      </c>
      <c r="N18" s="29" t="s">
        <v>614</v>
      </c>
      <c r="O18" s="29" t="s">
        <v>615</v>
      </c>
      <c r="P18" s="29" t="s">
        <v>616</v>
      </c>
      <c r="Q18" s="29" t="s">
        <v>617</v>
      </c>
    </row>
    <row r="19" spans="1:17">
      <c r="D19" s="255"/>
      <c r="E19" s="255"/>
      <c r="F19" s="19"/>
      <c r="G19" s="24" t="s">
        <v>618</v>
      </c>
      <c r="H19" s="21" t="s">
        <v>619</v>
      </c>
      <c r="I19" s="21" t="s">
        <v>620</v>
      </c>
      <c r="J19" s="21" t="s">
        <v>621</v>
      </c>
      <c r="L19" s="27" t="s">
        <v>622</v>
      </c>
      <c r="M19" s="28" t="s">
        <v>623</v>
      </c>
      <c r="N19" s="29" t="s">
        <v>624</v>
      </c>
      <c r="O19" s="29" t="s">
        <v>625</v>
      </c>
      <c r="P19" s="29" t="s">
        <v>626</v>
      </c>
      <c r="Q19" s="29" t="s">
        <v>627</v>
      </c>
    </row>
    <row r="20" spans="1:17">
      <c r="A20" s="21" t="s">
        <v>628</v>
      </c>
      <c r="B20" s="25">
        <f>(B17/1000/2)*(B17/1000/2)*3.14*B18*3600</f>
        <v>7065</v>
      </c>
      <c r="C20" s="23" t="s">
        <v>629</v>
      </c>
      <c r="D20" s="255"/>
      <c r="E20" s="255"/>
      <c r="F20" s="19"/>
      <c r="G20" s="21" t="s">
        <v>630</v>
      </c>
      <c r="H20" s="21" t="s">
        <v>631</v>
      </c>
      <c r="I20" s="21" t="s">
        <v>632</v>
      </c>
      <c r="J20" s="21" t="s">
        <v>610</v>
      </c>
      <c r="L20" s="27" t="s">
        <v>633</v>
      </c>
      <c r="M20" s="28" t="s">
        <v>634</v>
      </c>
      <c r="N20" s="29" t="s">
        <v>635</v>
      </c>
      <c r="O20" s="28" t="s">
        <v>636</v>
      </c>
      <c r="P20" s="28" t="s">
        <v>637</v>
      </c>
      <c r="Q20" s="28" t="s">
        <v>638</v>
      </c>
    </row>
    <row r="21" spans="1:17">
      <c r="D21" s="255"/>
      <c r="E21" s="255"/>
      <c r="F21" s="19"/>
      <c r="G21" s="21" t="s">
        <v>639</v>
      </c>
      <c r="H21" s="21" t="s">
        <v>640</v>
      </c>
      <c r="I21" s="21" t="s">
        <v>631</v>
      </c>
      <c r="J21" s="21" t="s">
        <v>609</v>
      </c>
      <c r="L21" s="27" t="s">
        <v>641</v>
      </c>
      <c r="M21" s="28" t="s">
        <v>642</v>
      </c>
      <c r="N21" s="28" t="s">
        <v>643</v>
      </c>
      <c r="O21" s="29" t="s">
        <v>644</v>
      </c>
      <c r="P21" s="29" t="s">
        <v>645</v>
      </c>
      <c r="Q21" s="29" t="s">
        <v>646</v>
      </c>
    </row>
    <row r="22" spans="1:17">
      <c r="D22" s="255"/>
      <c r="E22" s="255"/>
      <c r="F22" s="19"/>
      <c r="G22" s="21" t="s">
        <v>647</v>
      </c>
      <c r="H22" s="21" t="s">
        <v>648</v>
      </c>
      <c r="I22" s="21" t="s">
        <v>649</v>
      </c>
      <c r="J22" s="21" t="s">
        <v>620</v>
      </c>
      <c r="L22" s="27" t="s">
        <v>650</v>
      </c>
      <c r="M22" s="28" t="s">
        <v>651</v>
      </c>
      <c r="N22" s="28" t="s">
        <v>652</v>
      </c>
      <c r="O22" s="29" t="s">
        <v>653</v>
      </c>
      <c r="P22" s="29" t="s">
        <v>654</v>
      </c>
      <c r="Q22" s="29" t="s">
        <v>655</v>
      </c>
    </row>
    <row r="23" spans="1:17" ht="18.75">
      <c r="A23" s="16" t="s">
        <v>656</v>
      </c>
      <c r="D23" s="255"/>
      <c r="E23" s="255"/>
      <c r="F23" s="19"/>
      <c r="G23" s="21" t="s">
        <v>657</v>
      </c>
      <c r="H23" s="21" t="s">
        <v>658</v>
      </c>
      <c r="I23" s="21" t="s">
        <v>659</v>
      </c>
      <c r="J23" s="21" t="s">
        <v>660</v>
      </c>
      <c r="L23" s="27" t="s">
        <v>661</v>
      </c>
      <c r="M23" s="28" t="s">
        <v>662</v>
      </c>
      <c r="N23" s="28" t="s">
        <v>663</v>
      </c>
      <c r="O23" s="29" t="s">
        <v>664</v>
      </c>
      <c r="P23" s="29" t="s">
        <v>665</v>
      </c>
      <c r="Q23" s="29" t="s">
        <v>666</v>
      </c>
    </row>
    <row r="24" spans="1:17">
      <c r="A24" s="21" t="s">
        <v>667</v>
      </c>
      <c r="B24" s="22">
        <v>630</v>
      </c>
      <c r="C24" s="23" t="s">
        <v>495</v>
      </c>
      <c r="D24" s="255"/>
      <c r="E24" s="255"/>
      <c r="F24" s="19"/>
      <c r="L24" s="27" t="s">
        <v>668</v>
      </c>
      <c r="M24" s="28" t="s">
        <v>669</v>
      </c>
      <c r="N24" s="28" t="s">
        <v>670</v>
      </c>
      <c r="O24" s="29" t="s">
        <v>671</v>
      </c>
      <c r="P24" s="29" t="s">
        <v>672</v>
      </c>
      <c r="Q24" s="29" t="s">
        <v>673</v>
      </c>
    </row>
    <row r="25" spans="1:17">
      <c r="A25" s="21" t="s">
        <v>674</v>
      </c>
      <c r="B25" s="22">
        <v>200</v>
      </c>
      <c r="C25" s="23" t="s">
        <v>495</v>
      </c>
      <c r="D25" s="255"/>
      <c r="E25" s="255"/>
      <c r="F25" s="19"/>
      <c r="L25" s="27" t="s">
        <v>675</v>
      </c>
      <c r="M25" s="28" t="s">
        <v>676</v>
      </c>
      <c r="N25" s="28" t="s">
        <v>677</v>
      </c>
      <c r="O25" s="29" t="s">
        <v>678</v>
      </c>
      <c r="P25" s="29" t="s">
        <v>679</v>
      </c>
      <c r="Q25" s="29" t="s">
        <v>680</v>
      </c>
    </row>
    <row r="26" spans="1:17">
      <c r="A26" s="21" t="s">
        <v>606</v>
      </c>
      <c r="B26" s="22">
        <v>4</v>
      </c>
      <c r="C26" s="23" t="s">
        <v>607</v>
      </c>
      <c r="D26" s="255"/>
      <c r="E26" s="255"/>
      <c r="F26" s="19"/>
      <c r="L26" s="27" t="s">
        <v>681</v>
      </c>
      <c r="M26" s="28" t="s">
        <v>682</v>
      </c>
      <c r="N26" s="28" t="s">
        <v>683</v>
      </c>
      <c r="O26" s="29" t="s">
        <v>684</v>
      </c>
      <c r="P26" s="29" t="s">
        <v>685</v>
      </c>
      <c r="Q26" s="29" t="s">
        <v>686</v>
      </c>
    </row>
    <row r="27" spans="1:17">
      <c r="D27" s="255"/>
      <c r="E27" s="255"/>
      <c r="F27" s="19"/>
      <c r="L27" s="27" t="s">
        <v>687</v>
      </c>
      <c r="M27" s="28" t="s">
        <v>688</v>
      </c>
      <c r="N27" s="28" t="s">
        <v>689</v>
      </c>
      <c r="O27" s="29" t="s">
        <v>690</v>
      </c>
      <c r="P27" s="29" t="s">
        <v>691</v>
      </c>
      <c r="Q27" s="29" t="s">
        <v>692</v>
      </c>
    </row>
    <row r="28" spans="1:17">
      <c r="A28" s="21" t="s">
        <v>628</v>
      </c>
      <c r="B28" s="25">
        <f>(B24/1000)*(B25/1000)*B26*3600</f>
        <v>1814.4</v>
      </c>
      <c r="C28" s="23" t="s">
        <v>629</v>
      </c>
      <c r="D28" s="255"/>
      <c r="E28" s="255"/>
      <c r="F28" s="19"/>
      <c r="L28" s="27" t="s">
        <v>693</v>
      </c>
      <c r="M28" s="28" t="s">
        <v>694</v>
      </c>
      <c r="N28" s="28" t="s">
        <v>695</v>
      </c>
      <c r="O28" s="29" t="s">
        <v>696</v>
      </c>
      <c r="P28" s="29" t="s">
        <v>697</v>
      </c>
      <c r="Q28" s="29" t="s">
        <v>698</v>
      </c>
    </row>
  </sheetData>
  <mergeCells count="13">
    <mergeCell ref="M2:Q2"/>
    <mergeCell ref="F6:G6"/>
    <mergeCell ref="F7:G7"/>
    <mergeCell ref="F8:G8"/>
    <mergeCell ref="F9:G9"/>
    <mergeCell ref="G16:J16"/>
    <mergeCell ref="D17:E28"/>
    <mergeCell ref="F2:G3"/>
    <mergeCell ref="A4:C5"/>
    <mergeCell ref="A7:C8"/>
    <mergeCell ref="A10:C11"/>
    <mergeCell ref="A13:C14"/>
    <mergeCell ref="A2:C2"/>
  </mergeCells>
  <phoneticPr fontId="4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3"/>
  <sheetViews>
    <sheetView workbookViewId="0">
      <selection activeCell="L16" sqref="L16"/>
    </sheetView>
  </sheetViews>
  <sheetFormatPr defaultColWidth="9" defaultRowHeight="13.5"/>
  <cols>
    <col min="2" max="2" width="42.875" customWidth="1"/>
    <col min="3" max="3" width="13.75" customWidth="1"/>
    <col min="4" max="4" width="14.5" customWidth="1"/>
    <col min="5" max="5" width="15.25" customWidth="1"/>
    <col min="6" max="6" width="12.875" customWidth="1"/>
  </cols>
  <sheetData>
    <row r="1" spans="1:18" ht="20.25">
      <c r="A1" s="289" t="s">
        <v>699</v>
      </c>
      <c r="B1" s="289"/>
      <c r="C1" s="289"/>
      <c r="D1" s="289"/>
      <c r="E1" s="289"/>
      <c r="F1" s="289"/>
      <c r="G1" s="289"/>
      <c r="H1" s="289"/>
    </row>
    <row r="2" spans="1:18" ht="14.25">
      <c r="A2" s="290" t="s">
        <v>700</v>
      </c>
      <c r="B2" s="290"/>
      <c r="C2" s="290" t="s">
        <v>701</v>
      </c>
      <c r="D2" s="290"/>
      <c r="E2" s="290"/>
      <c r="F2" s="290"/>
      <c r="G2" s="290"/>
      <c r="H2" s="290"/>
      <c r="I2" s="11" t="s">
        <v>32</v>
      </c>
      <c r="J2" s="11"/>
      <c r="K2" s="11"/>
      <c r="L2" s="11"/>
      <c r="M2" s="11"/>
      <c r="N2" s="11"/>
      <c r="O2" s="11"/>
      <c r="P2" s="11"/>
      <c r="Q2" s="11"/>
      <c r="R2" s="11"/>
    </row>
    <row r="3" spans="1:18" ht="14.25">
      <c r="A3" s="2">
        <v>1</v>
      </c>
      <c r="B3" s="4" t="s">
        <v>702</v>
      </c>
      <c r="C3" s="274">
        <v>0</v>
      </c>
      <c r="D3" s="274"/>
      <c r="E3" s="267" t="s">
        <v>703</v>
      </c>
      <c r="F3" s="267"/>
      <c r="G3" s="267"/>
      <c r="H3" s="267"/>
      <c r="I3" s="11" t="s">
        <v>33</v>
      </c>
      <c r="J3" s="11"/>
      <c r="K3" s="11"/>
      <c r="L3" s="11"/>
      <c r="M3" s="11"/>
      <c r="N3" s="11"/>
      <c r="O3" s="11"/>
      <c r="P3" s="11"/>
      <c r="Q3" s="11"/>
      <c r="R3" s="11"/>
    </row>
    <row r="4" spans="1:18" ht="14.25">
      <c r="A4" s="2">
        <v>2</v>
      </c>
      <c r="B4" s="4" t="s">
        <v>704</v>
      </c>
      <c r="C4" s="2" t="s">
        <v>705</v>
      </c>
      <c r="D4" s="12">
        <v>49</v>
      </c>
      <c r="E4" s="2" t="s">
        <v>706</v>
      </c>
      <c r="F4" s="12">
        <v>32</v>
      </c>
      <c r="G4" s="2" t="s">
        <v>707</v>
      </c>
      <c r="H4" s="12">
        <v>3</v>
      </c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4.25">
      <c r="A5" s="2">
        <v>3</v>
      </c>
      <c r="B5" s="4" t="s">
        <v>708</v>
      </c>
      <c r="C5" s="2" t="s">
        <v>709</v>
      </c>
      <c r="D5" s="274">
        <v>1</v>
      </c>
      <c r="E5" s="274"/>
      <c r="F5" s="2" t="s">
        <v>710</v>
      </c>
      <c r="G5" s="274">
        <v>8</v>
      </c>
      <c r="H5" s="274"/>
      <c r="I5" s="11" t="s">
        <v>34</v>
      </c>
      <c r="J5" s="11"/>
      <c r="K5" s="11"/>
      <c r="L5" s="11"/>
      <c r="M5" s="11"/>
      <c r="N5" s="11"/>
      <c r="O5" s="11"/>
      <c r="P5" s="11"/>
      <c r="Q5" s="11"/>
      <c r="R5" s="11"/>
    </row>
    <row r="6" spans="1:18" ht="14.25">
      <c r="A6" s="2">
        <v>4</v>
      </c>
      <c r="B6" s="4" t="s">
        <v>711</v>
      </c>
      <c r="C6" s="270">
        <f>(D4*F4)/(D5*G5)</f>
        <v>196</v>
      </c>
      <c r="D6" s="270"/>
      <c r="E6" s="270"/>
      <c r="F6" s="270"/>
      <c r="G6" s="270"/>
      <c r="H6" s="270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4.25">
      <c r="A7" s="2">
        <v>5</v>
      </c>
      <c r="B7" s="4" t="s">
        <v>712</v>
      </c>
      <c r="C7" s="2" t="s">
        <v>705</v>
      </c>
      <c r="D7" s="12">
        <v>6.8</v>
      </c>
      <c r="E7" s="2" t="s">
        <v>706</v>
      </c>
      <c r="F7" s="12">
        <v>6.8</v>
      </c>
      <c r="G7" s="2" t="s">
        <v>713</v>
      </c>
      <c r="H7" s="5">
        <f>(D7+F7)/2</f>
        <v>6.8</v>
      </c>
      <c r="I7" s="11" t="s">
        <v>45</v>
      </c>
      <c r="J7" s="11"/>
      <c r="K7" s="11"/>
      <c r="L7" s="11"/>
      <c r="M7" s="11"/>
      <c r="N7" s="11"/>
      <c r="O7" s="11"/>
      <c r="P7" s="11"/>
      <c r="Q7" s="11"/>
      <c r="R7" s="11"/>
    </row>
    <row r="8" spans="1:18" ht="18.75">
      <c r="A8" s="2">
        <v>6</v>
      </c>
      <c r="B8" s="4" t="s">
        <v>714</v>
      </c>
      <c r="C8" s="2" t="s">
        <v>715</v>
      </c>
      <c r="D8" s="5">
        <f>D4/G5/2</f>
        <v>3.0625</v>
      </c>
      <c r="E8" s="2" t="s">
        <v>716</v>
      </c>
      <c r="F8" s="5">
        <f>F4/D5/2</f>
        <v>16</v>
      </c>
      <c r="G8" s="2" t="s">
        <v>717</v>
      </c>
      <c r="H8" s="5">
        <f>(D8+F8)/2</f>
        <v>9.53125</v>
      </c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>
      <c r="A9" s="267">
        <v>7</v>
      </c>
      <c r="B9" s="268" t="s">
        <v>718</v>
      </c>
      <c r="C9" s="270">
        <f>H4-F10</f>
        <v>1</v>
      </c>
      <c r="D9" s="288" t="s">
        <v>719</v>
      </c>
      <c r="E9" s="288"/>
      <c r="F9" s="288"/>
      <c r="G9" s="288"/>
      <c r="H9" s="288"/>
      <c r="I9" s="11" t="s">
        <v>52</v>
      </c>
      <c r="J9" s="11"/>
      <c r="K9" s="11"/>
      <c r="L9" s="11"/>
      <c r="M9" s="11"/>
      <c r="N9" s="11"/>
      <c r="O9" s="11"/>
      <c r="P9" s="11"/>
      <c r="Q9" s="11"/>
      <c r="R9" s="11"/>
    </row>
    <row r="10" spans="1:18" ht="14.25">
      <c r="A10" s="267"/>
      <c r="B10" s="268"/>
      <c r="C10" s="270"/>
      <c r="D10" s="267" t="s">
        <v>720</v>
      </c>
      <c r="E10" s="267"/>
      <c r="F10" s="274">
        <v>2</v>
      </c>
      <c r="G10" s="274"/>
      <c r="H10" s="274"/>
      <c r="I10" s="11" t="s">
        <v>55</v>
      </c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8.75">
      <c r="A11" s="2">
        <v>8</v>
      </c>
      <c r="B11" s="4" t="s">
        <v>721</v>
      </c>
      <c r="C11" s="12">
        <v>8</v>
      </c>
      <c r="D11" s="267" t="s">
        <v>722</v>
      </c>
      <c r="E11" s="267"/>
      <c r="F11" s="267"/>
      <c r="G11" s="267"/>
      <c r="H11" s="267"/>
      <c r="I11" s="11" t="s">
        <v>59</v>
      </c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4.25">
      <c r="A12" s="267">
        <v>9</v>
      </c>
      <c r="B12" s="4" t="s">
        <v>723</v>
      </c>
      <c r="C12" s="279">
        <v>4000</v>
      </c>
      <c r="D12" s="280"/>
      <c r="E12" s="281"/>
      <c r="F12" s="282" t="s">
        <v>724</v>
      </c>
      <c r="G12" s="283"/>
      <c r="H12" s="284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4.25">
      <c r="A13" s="267"/>
      <c r="B13" s="4" t="s">
        <v>725</v>
      </c>
      <c r="C13" s="285">
        <f>C3/1.2/1.01/C11</f>
        <v>0</v>
      </c>
      <c r="D13" s="286"/>
      <c r="E13" s="287" t="s">
        <v>726</v>
      </c>
      <c r="F13" s="287"/>
      <c r="G13" s="287"/>
      <c r="H13" s="287"/>
    </row>
    <row r="14" spans="1:18" ht="14.25">
      <c r="A14" s="2">
        <v>10</v>
      </c>
      <c r="B14" s="4" t="s">
        <v>727</v>
      </c>
      <c r="C14" s="276">
        <f>C12/D4/F4/H4</f>
        <v>0.85034013605442205</v>
      </c>
      <c r="D14" s="277"/>
      <c r="E14" s="277"/>
      <c r="F14" s="277"/>
      <c r="G14" s="277"/>
      <c r="H14" s="278"/>
    </row>
    <row r="15" spans="1:18" ht="18.75">
      <c r="A15" s="2">
        <v>11</v>
      </c>
      <c r="B15" s="4" t="s">
        <v>728</v>
      </c>
      <c r="C15" s="272">
        <f>C12/D5/G5</f>
        <v>500</v>
      </c>
      <c r="D15" s="272"/>
      <c r="E15" s="272"/>
      <c r="F15" s="272"/>
      <c r="G15" s="272"/>
      <c r="H15" s="272"/>
    </row>
    <row r="16" spans="1:18" ht="18.75">
      <c r="A16" s="2">
        <v>12</v>
      </c>
      <c r="B16" s="4" t="s">
        <v>729</v>
      </c>
      <c r="C16" s="274">
        <v>3</v>
      </c>
      <c r="D16" s="274"/>
      <c r="E16" s="267" t="s">
        <v>730</v>
      </c>
      <c r="F16" s="267"/>
      <c r="G16" s="267"/>
      <c r="H16" s="267"/>
    </row>
    <row r="17" spans="1:8" ht="14.25">
      <c r="A17" s="267">
        <v>13</v>
      </c>
      <c r="B17" s="4" t="s">
        <v>731</v>
      </c>
      <c r="C17" s="2" t="s">
        <v>732</v>
      </c>
      <c r="D17" s="14">
        <f>((C15/3600/C16/3.1415926)^(1/2))*2*1000</f>
        <v>242.788542202336</v>
      </c>
      <c r="E17" s="2" t="s">
        <v>733</v>
      </c>
      <c r="F17" s="5">
        <f>C15/3600/C16</f>
        <v>4.6296296296296301E-2</v>
      </c>
      <c r="G17" s="2" t="s">
        <v>734</v>
      </c>
      <c r="H17" s="7">
        <f>F17^(1/2)*1000</f>
        <v>215.165741455968</v>
      </c>
    </row>
    <row r="18" spans="1:8" ht="14.25">
      <c r="A18" s="267"/>
      <c r="B18" s="4" t="s">
        <v>735</v>
      </c>
      <c r="C18" s="2" t="s">
        <v>705</v>
      </c>
      <c r="D18" s="12">
        <v>320</v>
      </c>
      <c r="E18" s="2" t="s">
        <v>706</v>
      </c>
      <c r="F18" s="12">
        <v>320</v>
      </c>
      <c r="G18" s="2" t="s">
        <v>736</v>
      </c>
      <c r="H18" s="12">
        <v>0.8</v>
      </c>
    </row>
    <row r="19" spans="1:8" ht="14.25">
      <c r="A19" s="267"/>
      <c r="B19" s="4" t="s">
        <v>737</v>
      </c>
      <c r="C19" s="2" t="s">
        <v>738</v>
      </c>
      <c r="D19" s="274">
        <v>500</v>
      </c>
      <c r="E19" s="274"/>
      <c r="F19" s="274"/>
      <c r="G19" s="2" t="s">
        <v>736</v>
      </c>
      <c r="H19" s="12">
        <v>0.9</v>
      </c>
    </row>
    <row r="20" spans="1:8" ht="14.25">
      <c r="A20" s="267">
        <v>14</v>
      </c>
      <c r="B20" s="4" t="s">
        <v>739</v>
      </c>
      <c r="C20" s="272">
        <f>C15/3600/(D18/1000*F18/1000)/H18</f>
        <v>1.69542100694444</v>
      </c>
      <c r="D20" s="272"/>
      <c r="E20" s="272"/>
      <c r="F20" s="272"/>
      <c r="G20" s="272"/>
      <c r="H20" s="272"/>
    </row>
    <row r="21" spans="1:8" ht="14.25">
      <c r="A21" s="267"/>
      <c r="B21" s="4" t="s">
        <v>740</v>
      </c>
      <c r="C21" s="272">
        <f>C15/3600/(3.1415*(D19/1000/2)^2)/H19</f>
        <v>0.78597351662235704</v>
      </c>
      <c r="D21" s="272"/>
      <c r="E21" s="272"/>
      <c r="F21" s="272"/>
      <c r="G21" s="272"/>
      <c r="H21" s="272"/>
    </row>
    <row r="22" spans="1:8" ht="14.25">
      <c r="A22" s="267">
        <v>15</v>
      </c>
      <c r="B22" s="269" t="s">
        <v>741</v>
      </c>
      <c r="C22" s="13" t="s">
        <v>742</v>
      </c>
      <c r="D22" s="15">
        <f>((F22*C20*F17^(1/2))/0.5)-H22</f>
        <v>0.95143025050982899</v>
      </c>
      <c r="E22" s="273" t="s">
        <v>743</v>
      </c>
      <c r="F22" s="274">
        <v>1.4</v>
      </c>
      <c r="G22" s="273" t="s">
        <v>744</v>
      </c>
      <c r="H22" s="275">
        <v>7.0000000000000007E-2</v>
      </c>
    </row>
    <row r="23" spans="1:8" ht="14.25">
      <c r="A23" s="267"/>
      <c r="B23" s="269"/>
      <c r="C23" s="2" t="s">
        <v>745</v>
      </c>
      <c r="D23" s="15">
        <f>((F22*C21*(3.1415*(D19/1000/2)^2*H19)^(1/2))/0.5)-H22</f>
        <v>0.85511503566367897</v>
      </c>
      <c r="E23" s="273"/>
      <c r="F23" s="274"/>
      <c r="G23" s="273"/>
      <c r="H23" s="275"/>
    </row>
    <row r="24" spans="1:8" ht="18.75">
      <c r="A24" s="267"/>
      <c r="B24" s="4" t="s">
        <v>746</v>
      </c>
      <c r="C24" s="267" t="s">
        <v>747</v>
      </c>
      <c r="D24" s="267"/>
      <c r="E24" s="267"/>
      <c r="F24" s="267"/>
      <c r="G24" s="267"/>
      <c r="H24" s="267"/>
    </row>
    <row r="25" spans="1:8" ht="18.75">
      <c r="A25" s="267"/>
      <c r="B25" s="267" t="s">
        <v>748</v>
      </c>
      <c r="C25" s="267"/>
      <c r="D25" s="267"/>
      <c r="E25" s="267"/>
      <c r="F25" s="267"/>
      <c r="G25" s="267"/>
      <c r="H25" s="267"/>
    </row>
    <row r="26" spans="1:8" ht="14.25">
      <c r="A26" s="267">
        <v>16</v>
      </c>
      <c r="B26" s="4" t="s">
        <v>749</v>
      </c>
      <c r="C26" s="13" t="s">
        <v>742</v>
      </c>
      <c r="D26" s="8">
        <f>(0.381*D22)/((H7^2/4+H4^2)^(1/2))</f>
        <v>7.9944828669365198E-2</v>
      </c>
      <c r="E26" s="271" t="s">
        <v>750</v>
      </c>
      <c r="F26" s="271"/>
      <c r="G26" s="271"/>
      <c r="H26" s="271"/>
    </row>
    <row r="27" spans="1:8" ht="16.5">
      <c r="A27" s="267"/>
      <c r="B27" s="4" t="s">
        <v>751</v>
      </c>
      <c r="C27" s="2" t="s">
        <v>745</v>
      </c>
      <c r="D27" s="8">
        <f>(0.381*D23)/((H7^2/4+H4^2)^(1/2))</f>
        <v>7.1851851443759301E-2</v>
      </c>
      <c r="E27" s="271"/>
      <c r="F27" s="271"/>
      <c r="G27" s="271"/>
      <c r="H27" s="271"/>
    </row>
    <row r="28" spans="1:8" ht="14.25">
      <c r="A28" s="267"/>
      <c r="B28" s="4" t="s">
        <v>752</v>
      </c>
      <c r="C28" s="13" t="s">
        <v>742</v>
      </c>
      <c r="D28" s="266">
        <f>D26+D26*0.2</f>
        <v>9.5933794403238196E-2</v>
      </c>
      <c r="E28" s="266"/>
      <c r="F28" s="2" t="s">
        <v>745</v>
      </c>
      <c r="G28" s="266">
        <f>D27+D27*0.2</f>
        <v>8.6222221732511206E-2</v>
      </c>
      <c r="H28" s="266"/>
    </row>
    <row r="29" spans="1:8" ht="14.25">
      <c r="A29" s="267"/>
      <c r="B29" s="4" t="s">
        <v>753</v>
      </c>
      <c r="C29" s="13" t="s">
        <v>742</v>
      </c>
      <c r="D29" s="266">
        <f>D26-D26*0.2</f>
        <v>6.3955862935492103E-2</v>
      </c>
      <c r="E29" s="266"/>
      <c r="F29" s="2" t="s">
        <v>745</v>
      </c>
      <c r="G29" s="266">
        <f>D27-D27*0.2</f>
        <v>5.7481481155007501E-2</v>
      </c>
      <c r="H29" s="266"/>
    </row>
    <row r="30" spans="1:8" ht="14.25">
      <c r="A30" s="267">
        <v>17</v>
      </c>
      <c r="B30" s="269" t="s">
        <v>754</v>
      </c>
      <c r="C30" s="271" t="s">
        <v>755</v>
      </c>
      <c r="D30" s="2" t="s">
        <v>756</v>
      </c>
      <c r="E30" s="267" t="s">
        <v>757</v>
      </c>
      <c r="F30" s="267"/>
      <c r="G30" s="267"/>
      <c r="H30" s="267"/>
    </row>
    <row r="31" spans="1:8" ht="14.25">
      <c r="A31" s="267"/>
      <c r="B31" s="269"/>
      <c r="C31" s="271"/>
      <c r="D31" s="2" t="s">
        <v>758</v>
      </c>
      <c r="E31" s="267" t="s">
        <v>759</v>
      </c>
      <c r="F31" s="267"/>
      <c r="G31" s="267"/>
      <c r="H31" s="267"/>
    </row>
    <row r="32" spans="1:8" ht="14.25">
      <c r="A32" s="9" t="s">
        <v>760</v>
      </c>
      <c r="B32" s="9" t="s">
        <v>761</v>
      </c>
      <c r="C32" s="1"/>
      <c r="D32" s="1"/>
      <c r="E32" s="1"/>
      <c r="F32" s="1"/>
      <c r="G32" s="1"/>
      <c r="H32" s="1"/>
    </row>
    <row r="33" spans="1:8" ht="14.25">
      <c r="A33" s="1"/>
      <c r="B33" s="9" t="s">
        <v>762</v>
      </c>
      <c r="C33" s="1"/>
      <c r="D33" s="1"/>
      <c r="E33" s="1"/>
      <c r="F33" s="1"/>
      <c r="G33" s="1"/>
      <c r="H33" s="1"/>
    </row>
  </sheetData>
  <protectedRanges>
    <protectedRange sqref="C3 D4:D5 F4 H4 G5 D7 F7 F10 C11:C12 C16 D18:D19 F18 H18:H19 F22 H22" name="区域3"/>
  </protectedRanges>
  <mergeCells count="48">
    <mergeCell ref="A1:H1"/>
    <mergeCell ref="A2:B2"/>
    <mergeCell ref="C2:H2"/>
    <mergeCell ref="C3:D3"/>
    <mergeCell ref="E3:H3"/>
    <mergeCell ref="D5:E5"/>
    <mergeCell ref="G5:H5"/>
    <mergeCell ref="C6:H6"/>
    <mergeCell ref="D9:H9"/>
    <mergeCell ref="D10:E10"/>
    <mergeCell ref="F10:H10"/>
    <mergeCell ref="D11:H11"/>
    <mergeCell ref="C12:E12"/>
    <mergeCell ref="F12:H12"/>
    <mergeCell ref="C13:D13"/>
    <mergeCell ref="E13:H13"/>
    <mergeCell ref="C14:H14"/>
    <mergeCell ref="C15:H15"/>
    <mergeCell ref="C16:D16"/>
    <mergeCell ref="E16:H16"/>
    <mergeCell ref="D19:F19"/>
    <mergeCell ref="C20:H20"/>
    <mergeCell ref="C21:H21"/>
    <mergeCell ref="C24:H24"/>
    <mergeCell ref="B25:H25"/>
    <mergeCell ref="D28:E28"/>
    <mergeCell ref="G28:H28"/>
    <mergeCell ref="E22:E23"/>
    <mergeCell ref="F22:F23"/>
    <mergeCell ref="G22:G23"/>
    <mergeCell ref="H22:H23"/>
    <mergeCell ref="E26:H27"/>
    <mergeCell ref="D29:E29"/>
    <mergeCell ref="G29:H29"/>
    <mergeCell ref="E30:H30"/>
    <mergeCell ref="E31:H31"/>
    <mergeCell ref="A9:A10"/>
    <mergeCell ref="A12:A13"/>
    <mergeCell ref="A17:A19"/>
    <mergeCell ref="A20:A21"/>
    <mergeCell ref="A22:A25"/>
    <mergeCell ref="A26:A29"/>
    <mergeCell ref="A30:A31"/>
    <mergeCell ref="B9:B10"/>
    <mergeCell ref="B22:B23"/>
    <mergeCell ref="B30:B31"/>
    <mergeCell ref="C9:C10"/>
    <mergeCell ref="C30:C31"/>
  </mergeCells>
  <phoneticPr fontId="49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7"/>
  <sheetViews>
    <sheetView workbookViewId="0">
      <selection activeCell="Q19" sqref="Q19"/>
    </sheetView>
  </sheetViews>
  <sheetFormatPr defaultColWidth="9" defaultRowHeight="13.5"/>
  <cols>
    <col min="2" max="2" width="24.875" customWidth="1"/>
    <col min="3" max="3" width="18.25" customWidth="1"/>
    <col min="4" max="4" width="15.625" customWidth="1"/>
    <col min="5" max="5" width="16" customWidth="1"/>
    <col min="6" max="6" width="16.25" customWidth="1"/>
  </cols>
  <sheetData>
    <row r="1" spans="1:25" ht="20.25">
      <c r="A1" s="289" t="s">
        <v>763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</row>
    <row r="2" spans="1:25" ht="14.25">
      <c r="A2" s="318" t="s">
        <v>764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</row>
    <row r="3" spans="1:25">
      <c r="A3" s="319" t="s">
        <v>765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P3" s="11" t="s">
        <v>32</v>
      </c>
      <c r="Q3" s="11"/>
      <c r="R3" s="11"/>
      <c r="S3" s="11"/>
      <c r="T3" s="11"/>
      <c r="U3" s="11"/>
      <c r="V3" s="11"/>
      <c r="W3" s="11"/>
      <c r="X3" s="11"/>
      <c r="Y3" s="11"/>
    </row>
    <row r="4" spans="1:25">
      <c r="A4" s="320" t="s">
        <v>766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P4" s="11" t="s">
        <v>33</v>
      </c>
      <c r="Q4" s="11"/>
      <c r="R4" s="11"/>
      <c r="S4" s="11"/>
      <c r="T4" s="11"/>
      <c r="U4" s="11"/>
      <c r="V4" s="11"/>
      <c r="W4" s="11"/>
      <c r="X4" s="11"/>
      <c r="Y4" s="11"/>
    </row>
    <row r="5" spans="1:25" ht="14.25">
      <c r="A5" s="294">
        <v>1</v>
      </c>
      <c r="B5" s="267" t="s">
        <v>767</v>
      </c>
      <c r="C5" s="267"/>
      <c r="D5" s="267" t="s">
        <v>768</v>
      </c>
      <c r="E5" s="267"/>
      <c r="F5" s="267" t="s">
        <v>769</v>
      </c>
      <c r="G5" s="267"/>
      <c r="H5" s="269" t="s">
        <v>770</v>
      </c>
      <c r="I5" s="269"/>
      <c r="J5" s="269"/>
      <c r="K5" s="269"/>
      <c r="L5" s="269"/>
      <c r="M5" s="269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4.25">
      <c r="A6" s="295"/>
      <c r="B6" s="315">
        <v>6</v>
      </c>
      <c r="C6" s="315"/>
      <c r="D6" s="315">
        <v>26</v>
      </c>
      <c r="E6" s="315"/>
      <c r="F6" s="321">
        <v>6</v>
      </c>
      <c r="G6" s="321"/>
      <c r="H6" s="269"/>
      <c r="I6" s="269"/>
      <c r="J6" s="269"/>
      <c r="K6" s="269"/>
      <c r="L6" s="269"/>
      <c r="M6" s="269"/>
      <c r="P6" s="11" t="s">
        <v>34</v>
      </c>
      <c r="Q6" s="11"/>
      <c r="R6" s="11"/>
      <c r="S6" s="11"/>
      <c r="T6" s="11"/>
      <c r="U6" s="11"/>
      <c r="V6" s="11"/>
      <c r="W6" s="11"/>
      <c r="X6" s="11"/>
      <c r="Y6" s="11"/>
    </row>
    <row r="7" spans="1:25" ht="14.25">
      <c r="A7" s="295"/>
      <c r="B7" s="268" t="s">
        <v>771</v>
      </c>
      <c r="C7" s="268"/>
      <c r="D7" s="268"/>
      <c r="E7" s="3">
        <v>6.9</v>
      </c>
      <c r="F7" s="267" t="s">
        <v>772</v>
      </c>
      <c r="G7" s="267"/>
      <c r="H7" s="3">
        <v>11</v>
      </c>
      <c r="I7" s="267" t="s">
        <v>773</v>
      </c>
      <c r="J7" s="267"/>
      <c r="K7" s="315">
        <v>7</v>
      </c>
      <c r="L7" s="315"/>
      <c r="M7" s="315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4.25">
      <c r="A8" s="296"/>
      <c r="B8" s="268" t="s">
        <v>774</v>
      </c>
      <c r="C8" s="268"/>
      <c r="D8" s="268"/>
      <c r="E8" s="317">
        <v>1.5</v>
      </c>
      <c r="F8" s="317"/>
      <c r="G8" s="317"/>
      <c r="H8" s="267" t="s">
        <v>775</v>
      </c>
      <c r="I8" s="267"/>
      <c r="J8" s="267"/>
      <c r="K8" s="267" t="s">
        <v>776</v>
      </c>
      <c r="L8" s="267"/>
      <c r="M8" s="267"/>
      <c r="P8" s="11" t="s">
        <v>45</v>
      </c>
      <c r="Q8" s="11"/>
      <c r="R8" s="11"/>
      <c r="S8" s="11"/>
      <c r="T8" s="11"/>
      <c r="U8" s="11"/>
      <c r="V8" s="11"/>
      <c r="W8" s="11"/>
      <c r="X8" s="11"/>
      <c r="Y8" s="11"/>
    </row>
    <row r="9" spans="1:25" ht="14.25">
      <c r="A9" s="294">
        <v>2</v>
      </c>
      <c r="B9" s="268" t="s">
        <v>777</v>
      </c>
      <c r="C9" s="268"/>
      <c r="D9" s="268"/>
      <c r="E9" s="3">
        <v>1</v>
      </c>
      <c r="F9" s="267" t="s">
        <v>778</v>
      </c>
      <c r="G9" s="267"/>
      <c r="H9" s="5">
        <f>F6</f>
        <v>6</v>
      </c>
      <c r="I9" s="267" t="s">
        <v>779</v>
      </c>
      <c r="J9" s="267"/>
      <c r="K9" s="316">
        <f>E9/H9</f>
        <v>0.16666666666666699</v>
      </c>
      <c r="L9" s="316"/>
      <c r="M9" s="316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4.25">
      <c r="A10" s="295"/>
      <c r="B10" s="268" t="s">
        <v>780</v>
      </c>
      <c r="C10" s="268"/>
      <c r="D10" s="268"/>
      <c r="E10" s="268"/>
      <c r="F10" s="268"/>
      <c r="G10" s="268"/>
      <c r="H10" s="268"/>
      <c r="I10" s="268"/>
      <c r="J10" s="315">
        <v>16.600000000000001</v>
      </c>
      <c r="K10" s="315"/>
      <c r="L10" s="315"/>
      <c r="M10" s="315"/>
      <c r="P10" s="11" t="s">
        <v>52</v>
      </c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4.25">
      <c r="A11" s="295"/>
      <c r="B11" s="2" t="s">
        <v>781</v>
      </c>
      <c r="C11" s="2">
        <v>2</v>
      </c>
      <c r="D11" s="2">
        <v>4</v>
      </c>
      <c r="E11" s="2">
        <v>6</v>
      </c>
      <c r="F11" s="2">
        <v>8</v>
      </c>
      <c r="G11" s="2">
        <v>10</v>
      </c>
      <c r="H11" s="2">
        <v>15</v>
      </c>
      <c r="I11" s="2">
        <v>20</v>
      </c>
      <c r="J11" s="2">
        <v>25</v>
      </c>
      <c r="K11" s="2">
        <v>30</v>
      </c>
      <c r="L11" s="267">
        <v>40</v>
      </c>
      <c r="M11" s="267"/>
      <c r="P11" s="11" t="s">
        <v>55</v>
      </c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4.25">
      <c r="A12" s="295"/>
      <c r="B12" s="2" t="s">
        <v>779</v>
      </c>
      <c r="C12" s="2">
        <v>0.54</v>
      </c>
      <c r="D12" s="2">
        <v>0.38</v>
      </c>
      <c r="E12" s="2">
        <v>0.1</v>
      </c>
      <c r="F12" s="2">
        <v>0.27</v>
      </c>
      <c r="G12" s="2">
        <v>0.24</v>
      </c>
      <c r="H12" s="2">
        <v>0.18</v>
      </c>
      <c r="I12" s="2">
        <v>0.14000000000000001</v>
      </c>
      <c r="J12" s="2">
        <v>0.12</v>
      </c>
      <c r="K12" s="2">
        <v>0.09</v>
      </c>
      <c r="L12" s="267">
        <v>0.04</v>
      </c>
      <c r="M12" s="267"/>
      <c r="P12" s="11" t="s">
        <v>59</v>
      </c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4.25">
      <c r="A13" s="296"/>
      <c r="B13" s="302" t="s">
        <v>782</v>
      </c>
      <c r="C13" s="303"/>
      <c r="D13" s="303"/>
      <c r="E13" s="303"/>
      <c r="F13" s="303"/>
      <c r="G13" s="303"/>
      <c r="H13" s="303"/>
      <c r="I13" s="303"/>
      <c r="J13" s="303"/>
      <c r="K13" s="303"/>
      <c r="L13" s="303"/>
      <c r="M13" s="304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4.25">
      <c r="A14" s="294">
        <v>3</v>
      </c>
      <c r="B14" s="302" t="s">
        <v>783</v>
      </c>
      <c r="C14" s="303"/>
      <c r="D14" s="303"/>
      <c r="E14" s="303"/>
      <c r="F14" s="304"/>
      <c r="G14" s="3">
        <v>0</v>
      </c>
      <c r="H14" s="2" t="s">
        <v>784</v>
      </c>
      <c r="I14" s="267" t="s">
        <v>785</v>
      </c>
      <c r="J14" s="267"/>
      <c r="K14" s="270">
        <f>E7-G14</f>
        <v>6.9</v>
      </c>
      <c r="L14" s="270"/>
      <c r="M14" s="270"/>
    </row>
    <row r="15" spans="1:25" ht="14.25">
      <c r="A15" s="295"/>
      <c r="B15" s="302" t="s">
        <v>786</v>
      </c>
      <c r="C15" s="303"/>
      <c r="D15" s="303"/>
      <c r="E15" s="303"/>
      <c r="F15" s="303"/>
      <c r="G15" s="303"/>
      <c r="H15" s="303"/>
      <c r="I15" s="303"/>
      <c r="J15" s="303"/>
      <c r="K15" s="303"/>
      <c r="L15" s="303"/>
      <c r="M15" s="304"/>
    </row>
    <row r="16" spans="1:25" ht="14.25">
      <c r="A16" s="296"/>
      <c r="B16" s="302" t="s">
        <v>787</v>
      </c>
      <c r="C16" s="303"/>
      <c r="D16" s="304"/>
      <c r="E16" s="6">
        <f>K14/J10</f>
        <v>0.41566265060240998</v>
      </c>
      <c r="F16" s="267" t="s">
        <v>788</v>
      </c>
      <c r="G16" s="267"/>
      <c r="H16" s="267"/>
      <c r="I16" s="2" t="s">
        <v>705</v>
      </c>
      <c r="J16" s="3">
        <v>0.8</v>
      </c>
      <c r="K16" s="2" t="s">
        <v>706</v>
      </c>
      <c r="L16" s="315">
        <v>0.15</v>
      </c>
      <c r="M16" s="315"/>
    </row>
    <row r="17" spans="1:13" ht="14.25">
      <c r="A17" s="294">
        <v>4</v>
      </c>
      <c r="B17" s="302" t="s">
        <v>789</v>
      </c>
      <c r="C17" s="303"/>
      <c r="D17" s="304"/>
      <c r="E17" s="316">
        <f>1.128*SQRT(J16*L16)</f>
        <v>0.39075066218753901</v>
      </c>
      <c r="F17" s="316"/>
      <c r="G17" s="316"/>
      <c r="H17" s="316"/>
      <c r="I17" s="316"/>
      <c r="J17" s="2" t="s">
        <v>22</v>
      </c>
      <c r="K17" s="306" t="s">
        <v>790</v>
      </c>
      <c r="L17" s="306"/>
      <c r="M17" s="306"/>
    </row>
    <row r="18" spans="1:13" ht="14.25">
      <c r="A18" s="296"/>
      <c r="B18" s="268" t="s">
        <v>791</v>
      </c>
      <c r="C18" s="268"/>
      <c r="D18" s="3">
        <v>3</v>
      </c>
      <c r="E18" s="267" t="s">
        <v>792</v>
      </c>
      <c r="F18" s="267"/>
      <c r="G18" s="2">
        <v>0.8</v>
      </c>
      <c r="H18" s="267" t="s">
        <v>793</v>
      </c>
      <c r="I18" s="267"/>
      <c r="J18" s="267"/>
      <c r="K18" s="272">
        <f>G18*D18*(3.14/4)*E17^2</f>
        <v>0.28766057472000001</v>
      </c>
      <c r="L18" s="272"/>
      <c r="M18" s="272"/>
    </row>
    <row r="19" spans="1:13" ht="14.25">
      <c r="A19" s="2">
        <v>5</v>
      </c>
      <c r="B19" s="268" t="s">
        <v>794</v>
      </c>
      <c r="C19" s="268"/>
      <c r="D19" s="7">
        <f>E8/K18</f>
        <v>5.2144789095970303</v>
      </c>
      <c r="E19" s="311" t="s">
        <v>795</v>
      </c>
      <c r="F19" s="312"/>
      <c r="G19" s="312"/>
      <c r="H19" s="313"/>
      <c r="I19" s="285">
        <f>E8/D19/(3.14/4*E17^2)</f>
        <v>2.4</v>
      </c>
      <c r="J19" s="314"/>
      <c r="K19" s="314"/>
      <c r="L19" s="314"/>
      <c r="M19" s="286"/>
    </row>
    <row r="20" spans="1:13" ht="14.25">
      <c r="A20" s="297">
        <v>6</v>
      </c>
      <c r="B20" s="310" t="s">
        <v>796</v>
      </c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</row>
    <row r="21" spans="1:13" ht="14.25">
      <c r="A21" s="298"/>
      <c r="B21" s="268" t="s">
        <v>797</v>
      </c>
      <c r="C21" s="268"/>
      <c r="D21" s="268"/>
      <c r="E21" s="8">
        <f>(H7*K7)/D19</f>
        <v>14.76657616896</v>
      </c>
      <c r="F21" s="267" t="s">
        <v>798</v>
      </c>
      <c r="G21" s="267"/>
      <c r="H21" s="272">
        <f>SQRT(E21)/E17</f>
        <v>9.8342259481872798</v>
      </c>
      <c r="I21" s="272"/>
      <c r="J21" s="272"/>
      <c r="K21" s="272"/>
      <c r="L21" s="272"/>
      <c r="M21" s="272"/>
    </row>
    <row r="22" spans="1:13" ht="14.25">
      <c r="A22" s="298"/>
      <c r="B22" s="311" t="s">
        <v>799</v>
      </c>
      <c r="C22" s="312"/>
      <c r="D22" s="311" t="s">
        <v>800</v>
      </c>
      <c r="E22" s="312"/>
      <c r="F22" s="312"/>
      <c r="G22" s="311" t="s">
        <v>801</v>
      </c>
      <c r="H22" s="312"/>
      <c r="I22" s="312"/>
      <c r="J22" s="312"/>
      <c r="K22" s="313"/>
      <c r="L22" s="272">
        <f>0.35*H21</f>
        <v>3.4419790818655498</v>
      </c>
      <c r="M22" s="272"/>
    </row>
    <row r="23" spans="1:13" ht="14.25">
      <c r="A23" s="299"/>
      <c r="B23" s="268" t="s">
        <v>802</v>
      </c>
      <c r="C23" s="268"/>
      <c r="D23" s="268"/>
      <c r="E23" s="268"/>
      <c r="F23" s="268"/>
      <c r="G23" s="305">
        <f>L22-I19</f>
        <v>1.0419790818655501</v>
      </c>
      <c r="H23" s="305"/>
      <c r="I23" s="306" t="s">
        <v>803</v>
      </c>
      <c r="J23" s="306"/>
      <c r="K23" s="306"/>
      <c r="L23" s="306"/>
      <c r="M23" s="306"/>
    </row>
    <row r="24" spans="1:13" ht="14.25">
      <c r="A24" s="297">
        <v>7</v>
      </c>
      <c r="B24" s="307" t="s">
        <v>804</v>
      </c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</row>
    <row r="25" spans="1:13" ht="14.25">
      <c r="A25" s="298"/>
      <c r="B25" s="308" t="s">
        <v>805</v>
      </c>
      <c r="C25" s="308"/>
      <c r="D25" s="308"/>
      <c r="E25" s="267" t="s">
        <v>806</v>
      </c>
      <c r="F25" s="267"/>
      <c r="G25" s="267"/>
      <c r="H25" s="267"/>
      <c r="I25" s="267"/>
      <c r="J25" s="309">
        <f>(9.81*E17*F6)/I19^2/(273+D6)</f>
        <v>1.3354459295079999E-2</v>
      </c>
      <c r="K25" s="309"/>
      <c r="L25" s="309"/>
      <c r="M25" s="309"/>
    </row>
    <row r="26" spans="1:13" ht="14.25">
      <c r="A26" s="298"/>
      <c r="B26" s="302" t="s">
        <v>807</v>
      </c>
      <c r="C26" s="303"/>
      <c r="D26" s="303"/>
      <c r="E26" s="303"/>
      <c r="F26" s="304"/>
      <c r="G26" s="3">
        <v>19</v>
      </c>
      <c r="H26" s="267" t="s">
        <v>808</v>
      </c>
      <c r="I26" s="267"/>
      <c r="J26" s="267"/>
      <c r="K26" s="272">
        <f>G26*E17</f>
        <v>7.4242625815632302</v>
      </c>
      <c r="L26" s="272"/>
      <c r="M26" s="272"/>
    </row>
    <row r="27" spans="1:13" ht="16.5">
      <c r="A27" s="298"/>
      <c r="B27" s="2" t="s">
        <v>809</v>
      </c>
      <c r="C27" s="2">
        <v>0.2</v>
      </c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>
        <v>7</v>
      </c>
      <c r="K27" s="2">
        <v>9</v>
      </c>
      <c r="L27" s="2">
        <v>11</v>
      </c>
      <c r="M27" s="2">
        <v>13</v>
      </c>
    </row>
    <row r="28" spans="1:13" ht="14.25">
      <c r="A28" s="298"/>
      <c r="B28" s="2" t="s">
        <v>781</v>
      </c>
      <c r="C28" s="2">
        <v>80</v>
      </c>
      <c r="D28" s="2">
        <v>51</v>
      </c>
      <c r="E28" s="2">
        <v>40</v>
      </c>
      <c r="F28" s="2">
        <v>35</v>
      </c>
      <c r="G28" s="2">
        <v>32</v>
      </c>
      <c r="H28" s="2">
        <v>30</v>
      </c>
      <c r="I28" s="2">
        <v>28</v>
      </c>
      <c r="J28" s="2">
        <v>26</v>
      </c>
      <c r="K28" s="2">
        <v>23</v>
      </c>
      <c r="L28" s="2">
        <v>21</v>
      </c>
      <c r="M28" s="2">
        <v>19</v>
      </c>
    </row>
    <row r="29" spans="1:13" ht="14.25">
      <c r="A29" s="299"/>
      <c r="B29" s="268" t="s">
        <v>810</v>
      </c>
      <c r="C29" s="268"/>
      <c r="D29" s="268"/>
      <c r="E29" s="268"/>
      <c r="F29" s="268"/>
      <c r="G29" s="305">
        <f>K26-K14</f>
        <v>0.52426258156323402</v>
      </c>
      <c r="H29" s="305"/>
      <c r="I29" s="306" t="s">
        <v>803</v>
      </c>
      <c r="J29" s="306"/>
      <c r="K29" s="306"/>
      <c r="L29" s="306"/>
      <c r="M29" s="306"/>
    </row>
    <row r="30" spans="1:13" ht="14.25">
      <c r="A30" s="9" t="s">
        <v>760</v>
      </c>
      <c r="B30" s="9" t="s">
        <v>761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14.25">
      <c r="A31" s="9"/>
      <c r="B31" s="9" t="s">
        <v>762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4.25">
      <c r="A32" s="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4.25">
      <c r="A33" s="1"/>
      <c r="B33" s="300" t="s">
        <v>488</v>
      </c>
      <c r="C33" s="301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4.25">
      <c r="A34" s="1"/>
      <c r="B34" s="291" t="s">
        <v>811</v>
      </c>
      <c r="C34" s="291"/>
      <c r="D34" s="275">
        <v>320</v>
      </c>
      <c r="E34" s="275"/>
      <c r="F34" s="10"/>
      <c r="G34" s="10"/>
      <c r="H34" s="10"/>
      <c r="I34" s="10"/>
      <c r="J34" s="10"/>
      <c r="K34" s="10"/>
      <c r="L34" s="10"/>
      <c r="M34" s="10"/>
    </row>
    <row r="35" spans="1:13" ht="14.25">
      <c r="A35" s="1"/>
      <c r="B35" s="291" t="s">
        <v>812</v>
      </c>
      <c r="C35" s="291"/>
      <c r="D35" s="275">
        <v>30</v>
      </c>
      <c r="E35" s="275"/>
      <c r="F35" s="10"/>
      <c r="G35" s="10"/>
      <c r="H35" s="10"/>
      <c r="I35" s="10"/>
      <c r="J35" s="10"/>
      <c r="K35" s="10"/>
      <c r="L35" s="10"/>
      <c r="M35" s="10"/>
    </row>
    <row r="36" spans="1:13" ht="14.25">
      <c r="A36" s="1"/>
      <c r="B36" s="291" t="s">
        <v>813</v>
      </c>
      <c r="C36" s="291"/>
      <c r="D36" s="292">
        <f>D34/1.2/1.01/D35</f>
        <v>8.8008800880087996</v>
      </c>
      <c r="E36" s="292"/>
      <c r="F36" s="10"/>
      <c r="G36" s="10"/>
      <c r="H36" s="10"/>
      <c r="I36" s="10"/>
      <c r="J36" s="10"/>
      <c r="K36" s="10"/>
      <c r="L36" s="10"/>
      <c r="M36" s="10"/>
    </row>
    <row r="37" spans="1:13" ht="14.25">
      <c r="A37" s="1"/>
      <c r="B37" s="291" t="s">
        <v>417</v>
      </c>
      <c r="C37" s="291"/>
      <c r="D37" s="293">
        <f>D36*3600</f>
        <v>31683.168316831699</v>
      </c>
      <c r="E37" s="293"/>
      <c r="F37" s="10"/>
      <c r="G37" s="10"/>
      <c r="H37" s="10"/>
      <c r="I37" s="10"/>
      <c r="J37" s="10"/>
      <c r="K37" s="10"/>
      <c r="L37" s="10"/>
      <c r="M37" s="10"/>
    </row>
  </sheetData>
  <protectedRanges>
    <protectedRange sqref="B6:G6 E7 H7 E8:G8 K7:M7 E9 J10:M10" name="区域2"/>
    <protectedRange sqref="B6:G6 E7:E9 H7 K7 J10 G14 J16 L16 D18 G26" name="区域1"/>
  </protectedRanges>
  <mergeCells count="81">
    <mergeCell ref="A1:M1"/>
    <mergeCell ref="A2:M2"/>
    <mergeCell ref="A3:M3"/>
    <mergeCell ref="A4:M4"/>
    <mergeCell ref="B5:C5"/>
    <mergeCell ref="D5:E5"/>
    <mergeCell ref="F5:G5"/>
    <mergeCell ref="H5:M6"/>
    <mergeCell ref="B6:C6"/>
    <mergeCell ref="D6:E6"/>
    <mergeCell ref="F6:G6"/>
    <mergeCell ref="B7:D7"/>
    <mergeCell ref="F7:G7"/>
    <mergeCell ref="I7:J7"/>
    <mergeCell ref="K7:M7"/>
    <mergeCell ref="B8:D8"/>
    <mergeCell ref="E8:G8"/>
    <mergeCell ref="H8:J8"/>
    <mergeCell ref="K8:M8"/>
    <mergeCell ref="B9:D9"/>
    <mergeCell ref="F9:G9"/>
    <mergeCell ref="I9:J9"/>
    <mergeCell ref="K9:M9"/>
    <mergeCell ref="B10:I10"/>
    <mergeCell ref="J10:M10"/>
    <mergeCell ref="L11:M11"/>
    <mergeCell ref="L12:M12"/>
    <mergeCell ref="B13:M13"/>
    <mergeCell ref="B14:F14"/>
    <mergeCell ref="I14:J14"/>
    <mergeCell ref="K14:M14"/>
    <mergeCell ref="B15:M15"/>
    <mergeCell ref="B16:D16"/>
    <mergeCell ref="F16:H16"/>
    <mergeCell ref="L16:M16"/>
    <mergeCell ref="B17:D17"/>
    <mergeCell ref="E17:I17"/>
    <mergeCell ref="K17:M17"/>
    <mergeCell ref="B18:C18"/>
    <mergeCell ref="E18:F18"/>
    <mergeCell ref="H18:J18"/>
    <mergeCell ref="K18:M18"/>
    <mergeCell ref="B19:C19"/>
    <mergeCell ref="E19:H19"/>
    <mergeCell ref="I19:M19"/>
    <mergeCell ref="B20:M20"/>
    <mergeCell ref="B21:D21"/>
    <mergeCell ref="F21:G21"/>
    <mergeCell ref="H21:M21"/>
    <mergeCell ref="B22:C22"/>
    <mergeCell ref="D22:F22"/>
    <mergeCell ref="G22:K22"/>
    <mergeCell ref="L22:M22"/>
    <mergeCell ref="B23:F23"/>
    <mergeCell ref="G23:H23"/>
    <mergeCell ref="I23:M23"/>
    <mergeCell ref="B24:M24"/>
    <mergeCell ref="B25:D25"/>
    <mergeCell ref="E25:I25"/>
    <mergeCell ref="J25:M25"/>
    <mergeCell ref="H26:J26"/>
    <mergeCell ref="K26:M26"/>
    <mergeCell ref="B29:F29"/>
    <mergeCell ref="G29:H29"/>
    <mergeCell ref="I29:M29"/>
    <mergeCell ref="B36:C36"/>
    <mergeCell ref="D36:E36"/>
    <mergeCell ref="B37:C37"/>
    <mergeCell ref="D37:E37"/>
    <mergeCell ref="A5:A8"/>
    <mergeCell ref="A9:A13"/>
    <mergeCell ref="A14:A16"/>
    <mergeCell ref="A17:A18"/>
    <mergeCell ref="A20:A23"/>
    <mergeCell ref="A24:A29"/>
    <mergeCell ref="B33:C33"/>
    <mergeCell ref="B34:C34"/>
    <mergeCell ref="D34:E34"/>
    <mergeCell ref="B35:C35"/>
    <mergeCell ref="D35:E35"/>
    <mergeCell ref="B26:F26"/>
  </mergeCells>
  <phoneticPr fontId="4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区域8" rangeCreator="" othersAccessPermission="edit"/>
    <arrUserId title="区域6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</rangeList>
  <rangeList sheetStid="11" master=""/>
  <rangeList sheetStid="3" master="">
    <arrUserId title="区域3" rangeCreator="" othersAccessPermission="edit"/>
    <arrUserId title="区域2" rangeCreator="" othersAccessPermission="edit"/>
    <arrUserId title="区域1" rangeCreator="" othersAccessPermission="edit"/>
  </rangeList>
  <rangeList sheetStid="4" master=""/>
  <rangeList sheetStid="5" master=""/>
  <rangeList sheetStid="6" master=""/>
  <rangeList sheetStid="7" master=""/>
  <rangeList sheetStid="8" master=""/>
  <rangeList sheetStid="9" master="">
    <arrUserId title="区域3" rangeCreator="" othersAccessPermission="edit"/>
  </rangeList>
  <rangeList sheetStid="10" master="">
    <arrUserId title="区域2" rangeCreator="" othersAccessPermission="edit"/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水机管径计算</vt:lpstr>
      <vt:lpstr>钢材理论重量表</vt:lpstr>
      <vt:lpstr>多联机管径计算</vt:lpstr>
      <vt:lpstr>新风冷量计算表</vt:lpstr>
      <vt:lpstr>大卡千瓦兆瓦转换表</vt:lpstr>
      <vt:lpstr>管径流速流量对照表</vt:lpstr>
      <vt:lpstr>铜管重量保温每米单价</vt:lpstr>
      <vt:lpstr>圆形矩形风道风速计算</vt:lpstr>
      <vt:lpstr>风口风速1</vt:lpstr>
      <vt:lpstr>风口风速2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陈仕锋</dc:creator>
  <cp:lastModifiedBy>仕锋 陈</cp:lastModifiedBy>
  <dcterms:created xsi:type="dcterms:W3CDTF">2006-09-13T11:21:00Z</dcterms:created>
  <dcterms:modified xsi:type="dcterms:W3CDTF">2023-12-15T04:01:40Z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9D3F7437587C4C009B719C5D2FDACD7D_13</vt:lpwstr>
  </property>
</Properties>
</file>