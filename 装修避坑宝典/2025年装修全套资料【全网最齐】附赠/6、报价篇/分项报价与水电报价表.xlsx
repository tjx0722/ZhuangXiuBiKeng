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05" activeTab="1"/>
  </bookViews>
  <sheets>
    <sheet name="分项报价表" sheetId="1" r:id="rId1"/>
    <sheet name="水电报价表" sheetId="2" r:id="rId2"/>
  </sheets>
  <externalReferences>
    <externalReference r:id="rId3"/>
    <externalReference r:id="rId4"/>
  </externalReferences>
  <definedNames>
    <definedName name="吊顶升级">[2]参数表!$K$3:$K$26</definedName>
    <definedName name="综合单价">分项报价表!$M:$M</definedName>
    <definedName name="预算工程量" localSheetId="0">分项报价表!$I:$I</definedName>
    <definedName name="主材单价" localSheetId="0">分项报价表!$J:$J</definedName>
    <definedName name="主材损耗率" localSheetId="0">分项报价表!$K:$K</definedName>
    <definedName name="施工单价" localSheetId="0">分项报价表!$L:$L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微软用户</author>
  </authors>
  <commentList>
    <comment ref="B2" authorId="0">
      <text>
        <r>
          <rPr>
            <b/>
            <sz val="9"/>
            <rFont val="宋体"/>
            <charset val="134"/>
          </rPr>
          <t xml:space="preserve">说明:
</t>
        </r>
        <r>
          <rPr>
            <sz val="9"/>
            <rFont val="宋体"/>
            <charset val="134"/>
          </rPr>
          <t>主案重新设计的空间结构下，各空间的名称</t>
        </r>
      </text>
    </comment>
    <comment ref="K2" authorId="0">
      <text>
        <r>
          <rPr>
            <b/>
            <sz val="10"/>
            <rFont val="宋体"/>
            <charset val="134"/>
          </rPr>
          <t>注意：</t>
        </r>
        <r>
          <rPr>
            <b/>
            <sz val="9"/>
            <rFont val="宋体"/>
            <charset val="134"/>
          </rPr>
          <t xml:space="preserve">
</t>
        </r>
        <r>
          <rPr>
            <sz val="9"/>
            <rFont val="宋体"/>
            <charset val="134"/>
          </rPr>
          <t>墙地砖</t>
        </r>
        <r>
          <rPr>
            <b/>
            <sz val="9"/>
            <rFont val="宋体"/>
            <charset val="134"/>
          </rPr>
          <t>对缝</t>
        </r>
        <r>
          <rPr>
            <sz val="9"/>
            <rFont val="宋体"/>
            <charset val="134"/>
          </rPr>
          <t>：损耗率</t>
        </r>
        <r>
          <rPr>
            <b/>
            <sz val="9"/>
            <rFont val="宋体"/>
            <charset val="134"/>
          </rPr>
          <t>30%</t>
        </r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宋体"/>
            <charset val="134"/>
          </rPr>
          <t>不对缝：</t>
        </r>
        <r>
          <rPr>
            <sz val="9"/>
            <rFont val="宋体"/>
            <charset val="134"/>
          </rPr>
          <t>地砖</t>
        </r>
        <r>
          <rPr>
            <b/>
            <sz val="9"/>
            <rFont val="宋体"/>
            <charset val="134"/>
          </rPr>
          <t>8%，</t>
        </r>
        <r>
          <rPr>
            <sz val="9"/>
            <rFont val="宋体"/>
            <charset val="134"/>
          </rPr>
          <t>墙砖</t>
        </r>
        <r>
          <rPr>
            <b/>
            <sz val="9"/>
            <rFont val="宋体"/>
            <charset val="134"/>
          </rPr>
          <t>10%：</t>
        </r>
      </text>
    </comment>
  </commentList>
</comments>
</file>

<file path=xl/sharedStrings.xml><?xml version="1.0" encoding="utf-8"?>
<sst xmlns="http://schemas.openxmlformats.org/spreadsheetml/2006/main" count="320" uniqueCount="163">
  <si>
    <r>
      <rPr>
        <b/>
        <sz val="16"/>
        <color theme="1"/>
        <rFont val="微软雅黑"/>
        <charset val="134"/>
      </rPr>
      <t xml:space="preserve">分项报价参考表
</t>
    </r>
    <r>
      <rPr>
        <b/>
        <sz val="11"/>
        <color theme="1"/>
        <rFont val="微软雅黑"/>
        <charset val="134"/>
      </rPr>
      <t>（小红书：稳哥讲装修）</t>
    </r>
  </si>
  <si>
    <t>序号</t>
  </si>
  <si>
    <t>空间名称</t>
  </si>
  <si>
    <t>项目类型</t>
  </si>
  <si>
    <t>施工部位</t>
  </si>
  <si>
    <t>施工内容</t>
  </si>
  <si>
    <t>项目特征</t>
  </si>
  <si>
    <t>计算规则</t>
  </si>
  <si>
    <t>单位</t>
  </si>
  <si>
    <t>工程量</t>
  </si>
  <si>
    <t>主材单价</t>
  </si>
  <si>
    <t>主材
损耗率</t>
  </si>
  <si>
    <t>施工单价</t>
  </si>
  <si>
    <t>综合单价</t>
  </si>
  <si>
    <t>合计</t>
  </si>
  <si>
    <t>一</t>
  </si>
  <si>
    <t>土建改造</t>
  </si>
  <si>
    <t>（按实收方）</t>
  </si>
  <si>
    <t>全屋</t>
  </si>
  <si>
    <t>打拆</t>
  </si>
  <si>
    <t>墙体拆除（120墙）</t>
  </si>
  <si>
    <t>墙体拆除（240墙）</t>
  </si>
  <si>
    <t>拆除外墙砖</t>
  </si>
  <si>
    <t>全屋（待队长现场确认是否产生此费用）</t>
  </si>
  <si>
    <t>拆除保温层</t>
  </si>
  <si>
    <t>拆除混凝土墙及飘窗台</t>
  </si>
  <si>
    <t>拆除混凝土梁、柱</t>
  </si>
  <si>
    <t>拆除室外/室内楼梯</t>
  </si>
  <si>
    <t>门窗、栏杆拆除</t>
  </si>
  <si>
    <t>米</t>
  </si>
  <si>
    <t>新建</t>
  </si>
  <si>
    <t>空鼓拆除及修复</t>
  </si>
  <si>
    <t>新建120墙（轻质砖）</t>
  </si>
  <si>
    <t>新建240墙（轻质砖）</t>
  </si>
  <si>
    <t>门窗洞修补（水泥砂浆）</t>
  </si>
  <si>
    <t>厨房卫生间（其他区域待队长现场确认是否产生此费用）</t>
  </si>
  <si>
    <t>门</t>
  </si>
  <si>
    <t>水泥砂浆精找平</t>
  </si>
  <si>
    <t>按施工面积计算</t>
  </si>
  <si>
    <t>平米</t>
  </si>
  <si>
    <t>厨房、客卫、主卫、主卧、儿童房等</t>
  </si>
  <si>
    <t>门过梁施工（1.2米）</t>
  </si>
  <si>
    <t>次卫</t>
  </si>
  <si>
    <t>壁龛（300*300以内）</t>
  </si>
  <si>
    <t>厨房、生活阳台</t>
  </si>
  <si>
    <t>回填找平</t>
  </si>
  <si>
    <t>陶粒回填+保护层（厚度150mm以内）</t>
  </si>
  <si>
    <t>地暖前地面粗找平（厚度50mm以内）</t>
  </si>
  <si>
    <t>二</t>
  </si>
  <si>
    <t>空间配置升级</t>
  </si>
  <si>
    <t>2）</t>
  </si>
  <si>
    <t>卧室扩入公区</t>
  </si>
  <si>
    <t>户型扩改</t>
  </si>
  <si>
    <t>地面</t>
  </si>
  <si>
    <t>1）</t>
  </si>
  <si>
    <t>空间扩大</t>
  </si>
  <si>
    <t>厨房扩大</t>
  </si>
  <si>
    <t>墙顶地</t>
  </si>
  <si>
    <t>主卫扩大</t>
  </si>
  <si>
    <t>三</t>
  </si>
  <si>
    <t>厨房门 / 其他门扩大新增</t>
  </si>
  <si>
    <t>室内门</t>
  </si>
  <si>
    <t>按平米计算</t>
  </si>
  <si>
    <t>厨卫门</t>
  </si>
  <si>
    <t>四</t>
  </si>
  <si>
    <t>个性选择</t>
  </si>
  <si>
    <t>吊顶</t>
  </si>
  <si>
    <t>顶面</t>
  </si>
  <si>
    <t>增加平顶</t>
  </si>
  <si>
    <t>平顶上增加灯槽</t>
  </si>
  <si>
    <t>增加石膏板眉线</t>
  </si>
  <si>
    <t>增加窗帘盒</t>
  </si>
  <si>
    <t>筒射灯</t>
  </si>
  <si>
    <t>甲供</t>
  </si>
  <si>
    <t>个</t>
  </si>
  <si>
    <t>开设备孔（空调/浴霸/暖风机）</t>
  </si>
  <si>
    <t>开空调风口未计入预算。</t>
  </si>
  <si>
    <t>背景墙</t>
  </si>
  <si>
    <t>墙面</t>
  </si>
  <si>
    <t>墙板/石材</t>
  </si>
  <si>
    <t>石膏板墙面造型</t>
  </si>
  <si>
    <t>墙板基层</t>
  </si>
  <si>
    <t>木工板基层</t>
  </si>
  <si>
    <t>4）</t>
  </si>
  <si>
    <t>卫浴产品</t>
  </si>
  <si>
    <t>5）</t>
  </si>
  <si>
    <t>厨房产品</t>
  </si>
  <si>
    <t>3）</t>
  </si>
  <si>
    <t>橱卫柜方案</t>
  </si>
  <si>
    <t>五</t>
  </si>
  <si>
    <t>措施项目</t>
  </si>
  <si>
    <t>建渣处理</t>
  </si>
  <si>
    <t>建渣外运</t>
  </si>
  <si>
    <t>建渣转运</t>
  </si>
  <si>
    <t>建渣集中清理</t>
  </si>
  <si>
    <t>措施·复式别墅</t>
  </si>
  <si>
    <t>无电梯建渣下楼搬运费</t>
  </si>
  <si>
    <t>无电梯材料上楼搬运费</t>
  </si>
  <si>
    <t>搭建临时楼梯</t>
  </si>
  <si>
    <t>项</t>
  </si>
  <si>
    <t>楼梯防护栏焊接</t>
  </si>
  <si>
    <t>措施·特殊项</t>
  </si>
  <si>
    <t>地新风保护</t>
  </si>
  <si>
    <t>超高施工</t>
  </si>
  <si>
    <t>转换层焊接（单层）</t>
  </si>
  <si>
    <t>超高施工脚手架及措施费</t>
  </si>
  <si>
    <t>墙面超高-油工基层处理（含底漆）（层高3.2米以上）</t>
  </si>
  <si>
    <t>墙面超高-艺术漆（面漆）（层高3.2米以上）</t>
  </si>
  <si>
    <t>墙面超高-乳胶漆（面漆）（层高3.2米以上）</t>
  </si>
  <si>
    <t>顶面超高-油工基层处理（层高3.2米以上）</t>
  </si>
  <si>
    <t>吊顶超高施工费-吊顶下吊高度500mm以内（层高3.2米以上）</t>
  </si>
  <si>
    <t>超远施工</t>
  </si>
  <si>
    <t>远程施工费</t>
  </si>
  <si>
    <t>主卫</t>
  </si>
  <si>
    <t>卫浴升级</t>
  </si>
  <si>
    <t>安装</t>
  </si>
  <si>
    <t>浴缸安装</t>
  </si>
  <si>
    <t>水电报价表</t>
  </si>
  <si>
    <t>项目名称</t>
  </si>
  <si>
    <t>计量
单位</t>
  </si>
  <si>
    <t>单价</t>
  </si>
  <si>
    <t>合价</t>
  </si>
  <si>
    <t>项目特征描述</t>
  </si>
  <si>
    <t>普通插座/备用电源/开关</t>
  </si>
  <si>
    <t>按点位数计算</t>
  </si>
  <si>
    <t>含面板</t>
  </si>
  <si>
    <t>壁灯电源</t>
  </si>
  <si>
    <t>不含灯具</t>
  </si>
  <si>
    <t>踏步灯电源</t>
  </si>
  <si>
    <t>大功率电器插座（4平方）</t>
  </si>
  <si>
    <t>按点位数计算,6平方线路按680元/个计算</t>
  </si>
  <si>
    <t>地插</t>
  </si>
  <si>
    <t>按个数计算</t>
  </si>
  <si>
    <t>普通插座升级USB插座</t>
  </si>
  <si>
    <t>网络电视电话插座</t>
  </si>
  <si>
    <t>小夜灯</t>
  </si>
  <si>
    <t>平层-电箱全改（合同面积≤150㎡）</t>
  </si>
  <si>
    <t>套</t>
  </si>
  <si>
    <t>按套数计算</t>
  </si>
  <si>
    <t>包含强电箱更换、安装、固定、安装空开、排线、接线等</t>
  </si>
  <si>
    <t>平层-电箱全改</t>
  </si>
  <si>
    <t>按套数计算
复式+500元/户，别墅+1000元/户</t>
  </si>
  <si>
    <t>强电箱移位</t>
  </si>
  <si>
    <t>包含开槽移位，排线接线等，不含电箱入户主线，主线部分按时收方包</t>
  </si>
  <si>
    <t>弱电箱移位</t>
  </si>
  <si>
    <t>包含开槽移位，排线接线等，不含网络主线，线路部分按时收方</t>
  </si>
  <si>
    <t>中央空调电源线（内机）</t>
  </si>
  <si>
    <t>按空调内机个数计算</t>
  </si>
  <si>
    <t>包含开槽、布管布线等</t>
  </si>
  <si>
    <t>中央空调电源线（外机）</t>
  </si>
  <si>
    <t>按空调外机个数计算</t>
  </si>
  <si>
    <t>大循环水改造</t>
  </si>
  <si>
    <t>户</t>
  </si>
  <si>
    <t>按户数计算</t>
  </si>
  <si>
    <t>包含开槽、布管、管件安装等</t>
  </si>
  <si>
    <t>普通智能开关线路</t>
  </si>
  <si>
    <t>按合同面积计算</t>
  </si>
  <si>
    <t>每个开关单独走零线</t>
  </si>
  <si>
    <t>总线智能控制线路</t>
  </si>
  <si>
    <t>按合同面积计算（不含专用的弱电控制线）</t>
  </si>
  <si>
    <t>每组灯具单独走线至智能控制箱，每个开关单独走线至控制箱，专用的弱电控制线（开关控制线）甲供</t>
  </si>
  <si>
    <t>强弱电排线走天花</t>
  </si>
  <si>
    <t>适用于因开发商原始建筑原因地面无法开槽的项目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</si>
</sst>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_(* #,##0_);_(* \(#,##0\);_(* &quot;-&quot;??_);_(@_)"/>
    <numFmt numFmtId="178" formatCode="_(* #,##0.00_);_(* \(#,##0.00\);_(* &quot;-&quot;??_);_(@_)"/>
  </numFmts>
  <fonts count="4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2"/>
      <color indexed="0"/>
      <name val="微软雅黑"/>
      <charset val="134"/>
    </font>
    <font>
      <b/>
      <sz val="12"/>
      <color indexed="8"/>
      <name val="微软雅黑"/>
      <charset val="134"/>
    </font>
    <font>
      <sz val="11"/>
      <name val="微软雅黑"/>
      <charset val="134"/>
    </font>
    <font>
      <sz val="11"/>
      <name val="宋体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rgb="FF002060"/>
      <name val="微软雅黑"/>
      <charset val="134"/>
    </font>
    <font>
      <sz val="10"/>
      <color indexed="8"/>
      <name val="微软雅黑"/>
      <charset val="134"/>
    </font>
    <font>
      <b/>
      <sz val="10"/>
      <color indexed="8"/>
      <name val="微软雅黑"/>
      <charset val="134"/>
    </font>
    <font>
      <sz val="10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0070C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Cambria"/>
      <charset val="134"/>
    </font>
    <font>
      <sz val="11"/>
      <color indexed="8"/>
      <name val="宋体"/>
      <charset val="134"/>
    </font>
    <font>
      <sz val="10"/>
      <color indexed="8"/>
      <name val="Helvetica Neue"/>
      <charset val="134"/>
    </font>
    <font>
      <b/>
      <sz val="11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1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21" applyNumberFormat="0" applyAlignment="0" applyProtection="0">
      <alignment vertical="center"/>
    </xf>
    <xf numFmtId="0" fontId="24" fillId="11" borderId="22" applyNumberFormat="0" applyAlignment="0" applyProtection="0">
      <alignment vertical="center"/>
    </xf>
    <xf numFmtId="0" fontId="25" fillId="11" borderId="21" applyNumberFormat="0" applyAlignment="0" applyProtection="0">
      <alignment vertical="center"/>
    </xf>
    <xf numFmtId="0" fontId="26" fillId="12" borderId="23" applyNumberFormat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35" fillId="0" borderId="0" applyProtection="0">
      <alignment vertical="center"/>
    </xf>
    <xf numFmtId="0" fontId="36" fillId="0" borderId="0" applyNumberFormat="0" applyFill="0" applyBorder="0" applyProtection="0">
      <alignment vertical="top" wrapText="1"/>
    </xf>
    <xf numFmtId="0" fontId="0" fillId="0" borderId="0"/>
    <xf numFmtId="0" fontId="0" fillId="0" borderId="0"/>
  </cellStyleXfs>
  <cellXfs count="10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55" applyFont="1" applyFill="1" applyBorder="1" applyAlignment="1">
      <alignment horizontal="center" vertical="center" wrapText="1"/>
    </xf>
    <xf numFmtId="0" fontId="3" fillId="3" borderId="5" xfId="55" applyFont="1" applyFill="1" applyBorder="1" applyAlignment="1">
      <alignment horizontal="center" vertical="center" wrapText="1"/>
    </xf>
    <xf numFmtId="0" fontId="4" fillId="3" borderId="5" xfId="55" applyFont="1" applyFill="1" applyBorder="1" applyAlignment="1">
      <alignment horizontal="center" vertical="center" wrapText="1"/>
    </xf>
    <xf numFmtId="0" fontId="3" fillId="3" borderId="6" xfId="55" applyFont="1" applyFill="1" applyBorder="1" applyAlignment="1">
      <alignment horizontal="center" vertical="center" wrapText="1"/>
    </xf>
    <xf numFmtId="0" fontId="1" fillId="0" borderId="7" xfId="55" applyFont="1" applyBorder="1" applyAlignment="1">
      <alignment horizontal="center" vertical="center"/>
    </xf>
    <xf numFmtId="0" fontId="5" fillId="0" borderId="8" xfId="55" applyFont="1" applyBorder="1" applyAlignment="1">
      <alignment vertical="center" wrapText="1"/>
    </xf>
    <xf numFmtId="0" fontId="5" fillId="0" borderId="8" xfId="55" applyFont="1" applyBorder="1" applyAlignment="1">
      <alignment horizontal="center" vertical="center" wrapText="1"/>
    </xf>
    <xf numFmtId="0" fontId="1" fillId="0" borderId="8" xfId="55" applyFont="1" applyBorder="1" applyAlignment="1">
      <alignment horizontal="center" vertical="center"/>
    </xf>
    <xf numFmtId="41" fontId="5" fillId="0" borderId="8" xfId="56" applyNumberFormat="1" applyFont="1" applyBorder="1" applyAlignment="1">
      <alignment vertical="center"/>
    </xf>
    <xf numFmtId="43" fontId="1" fillId="0" borderId="8" xfId="55" applyNumberFormat="1" applyFont="1" applyBorder="1" applyAlignment="1">
      <alignment horizontal="center" vertical="center"/>
    </xf>
    <xf numFmtId="0" fontId="5" fillId="0" borderId="8" xfId="56" applyFont="1" applyBorder="1" applyAlignment="1">
      <alignment horizontal="left" vertical="center" wrapText="1"/>
    </xf>
    <xf numFmtId="0" fontId="5" fillId="0" borderId="9" xfId="56" applyFont="1" applyBorder="1" applyAlignment="1">
      <alignment horizontal="left" vertical="center" wrapText="1"/>
    </xf>
    <xf numFmtId="0" fontId="5" fillId="0" borderId="8" xfId="52" applyFont="1" applyBorder="1" applyAlignment="1">
      <alignment vertical="center" wrapText="1"/>
    </xf>
    <xf numFmtId="0" fontId="5" fillId="0" borderId="10" xfId="55" applyFont="1" applyBorder="1" applyAlignment="1">
      <alignment vertical="center" wrapText="1"/>
    </xf>
    <xf numFmtId="0" fontId="5" fillId="0" borderId="10" xfId="55" applyFont="1" applyBorder="1" applyAlignment="1">
      <alignment horizontal="center" vertical="center" wrapText="1"/>
    </xf>
    <xf numFmtId="0" fontId="1" fillId="0" borderId="10" xfId="55" applyFont="1" applyBorder="1" applyAlignment="1">
      <alignment horizontal="center" vertical="center"/>
    </xf>
    <xf numFmtId="41" fontId="5" fillId="0" borderId="10" xfId="56" applyNumberFormat="1" applyFont="1" applyBorder="1" applyAlignment="1">
      <alignment vertical="center"/>
    </xf>
    <xf numFmtId="0" fontId="5" fillId="0" borderId="10" xfId="56" applyFont="1" applyBorder="1" applyAlignment="1">
      <alignment horizontal="left" vertical="center" wrapText="1"/>
    </xf>
    <xf numFmtId="0" fontId="5" fillId="0" borderId="11" xfId="56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4" borderId="4" xfId="51" applyFont="1" applyFill="1" applyBorder="1" applyAlignment="1">
      <alignment horizontal="center" vertical="center" wrapText="1"/>
    </xf>
    <xf numFmtId="0" fontId="8" fillId="4" borderId="5" xfId="51" applyFont="1" applyFill="1" applyBorder="1" applyAlignment="1">
      <alignment horizontal="center" vertical="center" shrinkToFit="1"/>
    </xf>
    <xf numFmtId="0" fontId="8" fillId="4" borderId="5" xfId="51" applyFont="1" applyFill="1" applyBorder="1" applyAlignment="1">
      <alignment horizontal="center" vertical="center" wrapText="1"/>
    </xf>
    <xf numFmtId="0" fontId="8" fillId="4" borderId="5" xfId="51" applyFont="1" applyFill="1" applyBorder="1" applyAlignment="1">
      <alignment horizontal="center" vertical="center" wrapText="1" shrinkToFit="1"/>
    </xf>
    <xf numFmtId="0" fontId="9" fillId="5" borderId="7" xfId="51" applyFont="1" applyFill="1" applyBorder="1" applyAlignment="1">
      <alignment horizontal="center" vertical="center"/>
    </xf>
    <xf numFmtId="0" fontId="8" fillId="5" borderId="1" xfId="51" applyFont="1" applyFill="1" applyBorder="1" applyAlignment="1">
      <alignment vertical="center" shrinkToFit="1"/>
    </xf>
    <xf numFmtId="0" fontId="8" fillId="5" borderId="2" xfId="51" applyFont="1" applyFill="1" applyBorder="1" applyAlignment="1">
      <alignment vertical="center" shrinkToFit="1"/>
    </xf>
    <xf numFmtId="0" fontId="8" fillId="5" borderId="2" xfId="51" applyFont="1" applyFill="1" applyBorder="1" applyAlignment="1">
      <alignment vertical="center" wrapText="1" shrinkToFit="1"/>
    </xf>
    <xf numFmtId="0" fontId="10" fillId="5" borderId="2" xfId="51" applyFont="1" applyFill="1" applyBorder="1" applyAlignment="1">
      <alignment vertical="center" wrapText="1"/>
    </xf>
    <xf numFmtId="0" fontId="11" fillId="0" borderId="7" xfId="51" applyFont="1" applyBorder="1" applyAlignment="1">
      <alignment horizontal="center" vertical="center"/>
    </xf>
    <xf numFmtId="0" fontId="12" fillId="0" borderId="8" xfId="51" applyFont="1" applyBorder="1" applyAlignment="1">
      <alignment horizontal="left" vertical="center" shrinkToFit="1"/>
    </xf>
    <xf numFmtId="0" fontId="10" fillId="0" borderId="8" xfId="51" applyFont="1" applyBorder="1" applyAlignment="1">
      <alignment horizontal="center" vertical="center" shrinkToFit="1"/>
    </xf>
    <xf numFmtId="0" fontId="12" fillId="0" borderId="8" xfId="51" applyFont="1" applyBorder="1" applyAlignment="1">
      <alignment horizontal="center" vertical="center" shrinkToFit="1"/>
    </xf>
    <xf numFmtId="0" fontId="12" fillId="0" borderId="8" xfId="51" applyFont="1" applyBorder="1" applyAlignment="1">
      <alignment horizontal="left" vertical="center" wrapText="1"/>
    </xf>
    <xf numFmtId="0" fontId="12" fillId="0" borderId="8" xfId="51" applyFont="1" applyBorder="1" applyAlignment="1">
      <alignment horizontal="center" vertical="center" wrapText="1"/>
    </xf>
    <xf numFmtId="0" fontId="12" fillId="0" borderId="8" xfId="51" applyFont="1" applyBorder="1" applyAlignment="1">
      <alignment horizontal="left" vertical="center" wrapText="1" shrinkToFit="1"/>
    </xf>
    <xf numFmtId="0" fontId="8" fillId="0" borderId="7" xfId="51" applyFont="1" applyBorder="1" applyAlignment="1">
      <alignment horizontal="center" vertical="center"/>
    </xf>
    <xf numFmtId="0" fontId="8" fillId="5" borderId="2" xfId="51" applyFont="1" applyFill="1" applyBorder="1" applyAlignment="1">
      <alignment vertical="center" wrapText="1"/>
    </xf>
    <xf numFmtId="0" fontId="9" fillId="6" borderId="7" xfId="51" applyFont="1" applyFill="1" applyBorder="1" applyAlignment="1">
      <alignment horizontal="center" vertical="center"/>
    </xf>
    <xf numFmtId="0" fontId="8" fillId="6" borderId="1" xfId="51" applyFont="1" applyFill="1" applyBorder="1" applyAlignment="1">
      <alignment vertical="center" shrinkToFit="1"/>
    </xf>
    <xf numFmtId="0" fontId="8" fillId="6" borderId="2" xfId="51" applyFont="1" applyFill="1" applyBorder="1" applyAlignment="1">
      <alignment vertical="center" shrinkToFit="1"/>
    </xf>
    <xf numFmtId="0" fontId="8" fillId="6" borderId="2" xfId="51" applyFont="1" applyFill="1" applyBorder="1" applyAlignment="1">
      <alignment vertical="center" wrapText="1" shrinkToFit="1"/>
    </xf>
    <xf numFmtId="0" fontId="8" fillId="6" borderId="2" xfId="51" applyFont="1" applyFill="1" applyBorder="1" applyAlignment="1">
      <alignment vertical="center" wrapText="1"/>
    </xf>
    <xf numFmtId="176" fontId="11" fillId="0" borderId="7" xfId="51" applyNumberFormat="1" applyFont="1" applyBorder="1" applyAlignment="1">
      <alignment horizontal="right" vertical="center"/>
    </xf>
    <xf numFmtId="0" fontId="10" fillId="0" borderId="10" xfId="51" applyFont="1" applyBorder="1" applyAlignment="1">
      <alignment horizontal="left" vertical="center" wrapText="1" shrinkToFit="1"/>
    </xf>
    <xf numFmtId="0" fontId="11" fillId="0" borderId="7" xfId="51" applyFont="1" applyBorder="1" applyAlignment="1">
      <alignment horizontal="right" vertical="center"/>
    </xf>
    <xf numFmtId="0" fontId="10" fillId="0" borderId="10" xfId="51" applyFont="1" applyBorder="1" applyAlignment="1">
      <alignment horizontal="center" vertical="center" wrapText="1" shrinkToFit="1"/>
    </xf>
    <xf numFmtId="0" fontId="8" fillId="5" borderId="1" xfId="51" applyFont="1" applyFill="1" applyBorder="1">
      <alignment vertical="center"/>
    </xf>
    <xf numFmtId="0" fontId="12" fillId="0" borderId="1" xfId="51" applyFont="1" applyBorder="1" applyAlignment="1">
      <alignment horizontal="left" vertical="center" shrinkToFit="1"/>
    </xf>
    <xf numFmtId="0" fontId="10" fillId="0" borderId="2" xfId="51" applyFont="1" applyBorder="1" applyAlignment="1">
      <alignment horizontal="center" vertical="center" shrinkToFit="1"/>
    </xf>
    <xf numFmtId="0" fontId="12" fillId="0" borderId="2" xfId="51" applyFont="1" applyBorder="1" applyAlignment="1">
      <alignment horizontal="left" vertical="center" wrapText="1"/>
    </xf>
    <xf numFmtId="0" fontId="9" fillId="7" borderId="7" xfId="51" applyFont="1" applyFill="1" applyBorder="1" applyAlignment="1">
      <alignment horizontal="center" vertical="center"/>
    </xf>
    <xf numFmtId="0" fontId="8" fillId="7" borderId="1" xfId="51" applyFont="1" applyFill="1" applyBorder="1" applyAlignment="1">
      <alignment vertical="center" shrinkToFit="1"/>
    </xf>
    <xf numFmtId="0" fontId="8" fillId="7" borderId="2" xfId="51" applyFont="1" applyFill="1" applyBorder="1" applyAlignment="1">
      <alignment vertical="center" shrinkToFit="1"/>
    </xf>
    <xf numFmtId="0" fontId="8" fillId="7" borderId="2" xfId="51" applyFont="1" applyFill="1" applyBorder="1" applyAlignment="1">
      <alignment vertical="center" wrapText="1" shrinkToFit="1"/>
    </xf>
    <xf numFmtId="0" fontId="8" fillId="7" borderId="2" xfId="51" applyFont="1" applyFill="1" applyBorder="1" applyAlignment="1">
      <alignment vertical="center" wrapText="1"/>
    </xf>
    <xf numFmtId="0" fontId="10" fillId="0" borderId="8" xfId="51" applyFont="1" applyBorder="1" applyAlignment="1">
      <alignment horizontal="left" vertical="center" shrinkToFit="1"/>
    </xf>
    <xf numFmtId="0" fontId="10" fillId="0" borderId="8" xfId="0" applyFont="1" applyFill="1" applyBorder="1" applyAlignment="1">
      <alignment vertical="top" wrapText="1"/>
    </xf>
    <xf numFmtId="0" fontId="7" fillId="0" borderId="8" xfId="0" applyNumberFormat="1" applyFont="1" applyFill="1" applyBorder="1" applyAlignment="1" applyProtection="1">
      <alignment horizontal="left" vertical="center" wrapText="1"/>
    </xf>
    <xf numFmtId="0" fontId="13" fillId="0" borderId="1" xfId="51" applyFont="1" applyBorder="1" applyAlignment="1">
      <alignment horizontal="center" vertical="center" shrinkToFit="1"/>
    </xf>
    <xf numFmtId="0" fontId="13" fillId="0" borderId="2" xfId="51" applyFont="1" applyBorder="1" applyAlignment="1">
      <alignment horizontal="center" vertical="center" shrinkToFit="1"/>
    </xf>
    <xf numFmtId="0" fontId="11" fillId="0" borderId="10" xfId="51" applyFont="1" applyBorder="1" applyAlignment="1">
      <alignment horizontal="center" vertical="center"/>
    </xf>
    <xf numFmtId="0" fontId="12" fillId="0" borderId="12" xfId="51" applyFont="1" applyBorder="1" applyAlignment="1">
      <alignment horizontal="center" vertical="center" wrapText="1" shrinkToFit="1"/>
    </xf>
    <xf numFmtId="0" fontId="12" fillId="0" borderId="13" xfId="51" applyFont="1" applyBorder="1" applyAlignment="1">
      <alignment horizontal="center" vertical="center" wrapText="1" shrinkToFit="1"/>
    </xf>
    <xf numFmtId="0" fontId="10" fillId="0" borderId="10" xfId="51" applyFont="1" applyBorder="1" applyAlignment="1">
      <alignment horizontal="center" vertical="center" shrinkToFit="1"/>
    </xf>
    <xf numFmtId="49" fontId="12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8" xfId="51" applyFont="1" applyBorder="1" applyAlignment="1">
      <alignment horizontal="left" vertical="center" wrapText="1"/>
    </xf>
    <xf numFmtId="0" fontId="11" fillId="0" borderId="14" xfId="51" applyFont="1" applyBorder="1" applyAlignment="1">
      <alignment horizontal="center" vertical="center"/>
    </xf>
    <xf numFmtId="0" fontId="12" fillId="0" borderId="15" xfId="51" applyFont="1" applyBorder="1" applyAlignment="1">
      <alignment horizontal="center" vertical="center" wrapText="1" shrinkToFit="1"/>
    </xf>
    <xf numFmtId="0" fontId="12" fillId="0" borderId="16" xfId="51" applyFont="1" applyBorder="1" applyAlignment="1">
      <alignment horizontal="center" vertical="center" wrapText="1" shrinkToFit="1"/>
    </xf>
    <xf numFmtId="0" fontId="10" fillId="0" borderId="14" xfId="51" applyFont="1" applyBorder="1" applyAlignment="1">
      <alignment horizontal="center" vertical="center" shrinkToFit="1"/>
    </xf>
    <xf numFmtId="0" fontId="7" fillId="0" borderId="0" xfId="49" applyFont="1">
      <alignment vertical="center"/>
    </xf>
    <xf numFmtId="0" fontId="10" fillId="0" borderId="8" xfId="51" applyFont="1" applyBorder="1" applyAlignment="1" applyProtection="1">
      <alignment horizontal="center" vertical="center" shrinkToFit="1"/>
      <protection locked="0"/>
    </xf>
    <xf numFmtId="0" fontId="8" fillId="4" borderId="5" xfId="50" applyNumberFormat="1" applyFont="1" applyFill="1" applyBorder="1" applyAlignment="1" applyProtection="1">
      <alignment horizontal="center" vertical="center" wrapText="1"/>
    </xf>
    <xf numFmtId="0" fontId="8" fillId="4" borderId="6" xfId="51" applyFont="1" applyFill="1" applyBorder="1" applyAlignment="1">
      <alignment horizontal="center" vertical="center" wrapText="1"/>
    </xf>
    <xf numFmtId="177" fontId="8" fillId="5" borderId="17" xfId="51" applyNumberFormat="1" applyFont="1" applyFill="1" applyBorder="1" applyAlignment="1">
      <alignment vertical="center" shrinkToFit="1"/>
    </xf>
    <xf numFmtId="178" fontId="10" fillId="0" borderId="8" xfId="51" applyNumberFormat="1" applyFont="1" applyBorder="1" applyAlignment="1">
      <alignment horizontal="center" vertical="center" shrinkToFit="1"/>
    </xf>
    <xf numFmtId="177" fontId="7" fillId="0" borderId="8" xfId="51" applyNumberFormat="1" applyFont="1" applyBorder="1" applyAlignment="1">
      <alignment horizontal="center" vertical="center" shrinkToFit="1"/>
    </xf>
    <xf numFmtId="9" fontId="7" fillId="0" borderId="8" xfId="50" applyFont="1" applyFill="1" applyBorder="1" applyAlignment="1" applyProtection="1">
      <alignment horizontal="center" vertical="center" shrinkToFit="1"/>
    </xf>
    <xf numFmtId="177" fontId="12" fillId="0" borderId="8" xfId="51" applyNumberFormat="1" applyFont="1" applyBorder="1" applyAlignment="1">
      <alignment horizontal="right" vertical="center" wrapText="1"/>
    </xf>
    <xf numFmtId="177" fontId="14" fillId="0" borderId="9" xfId="51" applyNumberFormat="1" applyFont="1" applyBorder="1" applyAlignment="1">
      <alignment horizontal="center" vertical="center"/>
    </xf>
    <xf numFmtId="178" fontId="12" fillId="0" borderId="8" xfId="51" applyNumberFormat="1" applyFont="1" applyBorder="1" applyAlignment="1">
      <alignment horizontal="center" vertical="center" shrinkToFit="1"/>
    </xf>
    <xf numFmtId="177" fontId="12" fillId="0" borderId="8" xfId="51" applyNumberFormat="1" applyFont="1" applyBorder="1" applyAlignment="1">
      <alignment horizontal="center" vertical="center" shrinkToFit="1"/>
    </xf>
    <xf numFmtId="9" fontId="12" fillId="0" borderId="8" xfId="50" applyFont="1" applyFill="1" applyBorder="1" applyAlignment="1" applyProtection="1">
      <alignment horizontal="center" vertical="center" shrinkToFit="1"/>
    </xf>
    <xf numFmtId="177" fontId="8" fillId="0" borderId="9" xfId="51" applyNumberFormat="1" applyFont="1" applyBorder="1" applyAlignment="1">
      <alignment horizontal="center" vertical="center"/>
    </xf>
    <xf numFmtId="177" fontId="8" fillId="6" borderId="17" xfId="51" applyNumberFormat="1" applyFont="1" applyFill="1" applyBorder="1" applyAlignment="1">
      <alignment vertical="center" shrinkToFit="1"/>
    </xf>
    <xf numFmtId="177" fontId="7" fillId="0" borderId="2" xfId="51" applyNumberFormat="1" applyFont="1" applyBorder="1" applyAlignment="1">
      <alignment horizontal="center" vertical="center" shrinkToFit="1"/>
    </xf>
    <xf numFmtId="9" fontId="7" fillId="0" borderId="2" xfId="50" applyFont="1" applyFill="1" applyBorder="1" applyAlignment="1" applyProtection="1">
      <alignment horizontal="center" vertical="center" shrinkToFit="1"/>
    </xf>
    <xf numFmtId="177" fontId="12" fillId="0" borderId="2" xfId="51" applyNumberFormat="1" applyFont="1" applyBorder="1" applyAlignment="1">
      <alignment horizontal="right" vertical="center" wrapText="1"/>
    </xf>
    <xf numFmtId="177" fontId="14" fillId="7" borderId="17" xfId="51" applyNumberFormat="1" applyFont="1" applyFill="1" applyBorder="1" applyAlignment="1">
      <alignment vertical="center" shrinkToFit="1"/>
    </xf>
    <xf numFmtId="0" fontId="13" fillId="0" borderId="17" xfId="51" applyFont="1" applyBorder="1" applyAlignment="1">
      <alignment horizontal="center" vertical="center" shrinkToFit="1"/>
    </xf>
    <xf numFmtId="43" fontId="13" fillId="0" borderId="8" xfId="0" applyNumberFormat="1" applyFont="1" applyFill="1" applyBorder="1" applyAlignment="1" applyProtection="1">
      <alignment vertical="center"/>
    </xf>
    <xf numFmtId="177" fontId="13" fillId="0" borderId="8" xfId="51" applyNumberFormat="1" applyFont="1" applyBorder="1" applyAlignment="1">
      <alignment horizontal="center" vertical="center" shrinkToFit="1"/>
    </xf>
    <xf numFmtId="9" fontId="13" fillId="0" borderId="8" xfId="50" applyFont="1" applyFill="1" applyBorder="1" applyAlignment="1" applyProtection="1">
      <alignment horizontal="center" vertical="center" shrinkToFit="1"/>
    </xf>
    <xf numFmtId="177" fontId="13" fillId="0" borderId="8" xfId="51" applyNumberFormat="1" applyFont="1" applyBorder="1" applyAlignment="1">
      <alignment horizontal="right" vertical="center" wrapText="1"/>
    </xf>
    <xf numFmtId="177" fontId="14" fillId="0" borderId="8" xfId="51" applyNumberFormat="1" applyFont="1" applyBorder="1" applyAlignment="1">
      <alignment horizontal="right" vertical="center"/>
    </xf>
    <xf numFmtId="43" fontId="7" fillId="0" borderId="8" xfId="0" applyNumberFormat="1" applyFont="1" applyFill="1" applyBorder="1" applyAlignment="1" applyProtection="1">
      <alignment vertical="center"/>
    </xf>
    <xf numFmtId="177" fontId="14" fillId="0" borderId="9" xfId="51" applyNumberFormat="1" applyFont="1" applyBorder="1" applyAlignment="1">
      <alignment horizontal="right" vertical="center"/>
    </xf>
    <xf numFmtId="0" fontId="11" fillId="0" borderId="8" xfId="51" applyFont="1" applyBorder="1" applyAlignment="1">
      <alignment horizontal="center" vertical="center"/>
    </xf>
    <xf numFmtId="177" fontId="12" fillId="8" borderId="8" xfId="51" applyNumberFormat="1" applyFont="1" applyFill="1" applyBorder="1" applyAlignment="1">
      <alignment horizontal="right" vertical="center" wrapText="1"/>
    </xf>
    <xf numFmtId="177" fontId="14" fillId="0" borderId="8" xfId="51" applyNumberFormat="1" applyFont="1" applyBorder="1" applyAlignment="1">
      <alignment horizontal="center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百分比 3" xfId="50"/>
    <cellStyle name="常规 11 2" xfId="51"/>
    <cellStyle name="常规 2 2" xfId="52"/>
    <cellStyle name="常规 4" xfId="53"/>
    <cellStyle name="常规 3 3" xfId="54"/>
    <cellStyle name="常规 2 2 2" xfId="55"/>
    <cellStyle name="常规 6" xfId="56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cuments\WeChat%20Files\wangyi-676046413\FileStorage\File\2019-10\&#12304;&#27169;&#26495;&#12305;&#31934;&#35013;&#25253;&#20215;&#34920;_2019.9.27&#8730;(2)(2)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\Documents\WeChat%20Files\wxid_j622h3r4zifq12\FileStorage\File\2023-08\7.15&#24314;&#21457;&#22830;&#33879;&#24635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1-报价汇总表"/>
      <sheetName val="02-个性需求报价明细"/>
      <sheetName val="03-水电增项报价单"/>
      <sheetName val="参数表"/>
      <sheetName val="收费标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1-报价汇总表"/>
      <sheetName val="02-个性需求报价明细"/>
      <sheetName val="03-水电增项报价模板"/>
      <sheetName val="参数表"/>
      <sheetName val="收费标准"/>
    </sheetNames>
    <definedNames>
      <definedName name="预算工程量" refersTo="='02-个性需求报价明细'!$L:$L" sheetId="1"/>
    </definedNames>
    <sheetDataSet>
      <sheetData sheetId="0"/>
      <sheetData sheetId="1">
        <row r="2">
          <cell r="L2">
            <v>1790</v>
          </cell>
        </row>
        <row r="3">
          <cell r="L3" t="str">
            <v>工程量</v>
          </cell>
        </row>
        <row r="14">
          <cell r="L14">
            <v>28.625</v>
          </cell>
        </row>
        <row r="15">
          <cell r="L15">
            <v>22.4125</v>
          </cell>
        </row>
        <row r="16">
          <cell r="L16">
            <v>55.4</v>
          </cell>
        </row>
        <row r="17">
          <cell r="L17">
            <v>6</v>
          </cell>
        </row>
        <row r="19">
          <cell r="L19">
            <v>6</v>
          </cell>
        </row>
        <row r="20">
          <cell r="L20">
            <v>1</v>
          </cell>
        </row>
        <row r="21">
          <cell r="L21">
            <v>11.96</v>
          </cell>
        </row>
        <row r="29">
          <cell r="L29">
            <v>4.3</v>
          </cell>
        </row>
        <row r="30">
          <cell r="L30">
            <v>2.7</v>
          </cell>
        </row>
        <row r="32">
          <cell r="L32">
            <v>2.16</v>
          </cell>
        </row>
        <row r="35">
          <cell r="L35">
            <v>50.11</v>
          </cell>
        </row>
        <row r="36">
          <cell r="L36">
            <v>16</v>
          </cell>
        </row>
        <row r="37">
          <cell r="L37">
            <v>34.3</v>
          </cell>
        </row>
        <row r="38">
          <cell r="L38">
            <v>3.7</v>
          </cell>
        </row>
        <row r="39">
          <cell r="L39">
            <v>30</v>
          </cell>
        </row>
        <row r="40">
          <cell r="L40">
            <v>21.3</v>
          </cell>
        </row>
        <row r="44">
          <cell r="L44">
            <v>4.3</v>
          </cell>
        </row>
        <row r="45">
          <cell r="L45">
            <v>21</v>
          </cell>
        </row>
        <row r="46">
          <cell r="L46">
            <v>7.14</v>
          </cell>
        </row>
        <row r="47">
          <cell r="L47">
            <v>3.3</v>
          </cell>
        </row>
        <row r="48">
          <cell r="L48">
            <v>3.3</v>
          </cell>
        </row>
        <row r="57">
          <cell r="L57">
            <v>1</v>
          </cell>
        </row>
        <row r="77">
          <cell r="L77" t="str">
            <v>客户：</v>
          </cell>
        </row>
      </sheetData>
      <sheetData sheetId="2"/>
      <sheetData sheetId="3"/>
      <sheetData sheetId="4">
        <row r="1">
          <cell r="J1" t="str">
            <v>单价标记黄色：上调</v>
          </cell>
        </row>
        <row r="2">
          <cell r="D2" t="str">
            <v>施工内容</v>
          </cell>
          <cell r="E2" t="str">
            <v>单位</v>
          </cell>
          <cell r="F2" t="str">
            <v>销售单价
21.5.1</v>
          </cell>
          <cell r="G2" t="str">
            <v>计算规则</v>
          </cell>
          <cell r="H2" t="str">
            <v>项目特征描述</v>
          </cell>
          <cell r="I2" t="str">
            <v>编码</v>
          </cell>
          <cell r="J2" t="str">
            <v>清单报价</v>
          </cell>
          <cell r="K2" t="str">
            <v>原套餐内
是否包含</v>
          </cell>
        </row>
        <row r="5">
          <cell r="D5" t="str">
            <v>成品保护、铲墙皮、刷墙地固</v>
          </cell>
          <cell r="E5" t="str">
            <v>平米</v>
          </cell>
          <cell r="F5">
            <v>52</v>
          </cell>
          <cell r="G5" t="str">
            <v>按合同面积计算</v>
          </cell>
          <cell r="H5" t="str">
            <v>1.成品保护包含入场检查，电梯厅、走廊、过道、门窗、气表、水表、烟感、可视电话等的保护，管道包隔音棉处理，安全防护
2.铲墙皮（包含墙面和顶面）
3.墙地顶面涂刷界面剂
4.临水临电及精放线等施工准备工作</v>
          </cell>
          <cell r="I5" t="str">
            <v>CS0102-001</v>
          </cell>
          <cell r="J5" t="str">
            <v>√</v>
          </cell>
          <cell r="K5" t="str">
            <v>是</v>
          </cell>
        </row>
        <row r="6">
          <cell r="D6" t="str">
            <v>成品保护、刷墙地固</v>
          </cell>
          <cell r="E6" t="str">
            <v>平米</v>
          </cell>
          <cell r="F6">
            <v>44</v>
          </cell>
          <cell r="G6" t="str">
            <v>按合同面积计算</v>
          </cell>
          <cell r="H6" t="str">
            <v>1.成品保护包含入场检查，电梯厅、走廊、过道、门窗、气表、水表、烟感、可视电话等的保护，管道包隔音棉处理，安全防护
2.墙地顶面刷界面剂
3.临水临电及精放线等施工准备工作</v>
          </cell>
          <cell r="I6" t="str">
            <v>CS0102-002</v>
          </cell>
          <cell r="J6" t="str">
            <v>二选一</v>
          </cell>
        </row>
        <row r="7">
          <cell r="D7" t="str">
            <v>成品保护+安全防护</v>
          </cell>
          <cell r="E7" t="str">
            <v>平米</v>
          </cell>
          <cell r="F7">
            <v>15</v>
          </cell>
          <cell r="G7" t="str">
            <v>按合同面积计算</v>
          </cell>
          <cell r="H7" t="str">
            <v>成品保护包含入场检查，电梯厅、走廊、过道、门窗、气表、水表、烟感、可视电话等的保护</v>
          </cell>
          <cell r="I7" t="str">
            <v>CS0101-001</v>
          </cell>
        </row>
        <row r="8">
          <cell r="D8" t="str">
            <v>包管道隔音棉</v>
          </cell>
          <cell r="E8" t="str">
            <v>根</v>
          </cell>
          <cell r="F8">
            <v>50</v>
          </cell>
          <cell r="G8" t="str">
            <v>按根数计算</v>
          </cell>
          <cell r="H8" t="str">
            <v>排水管包隔音棉、扎带</v>
          </cell>
          <cell r="I8" t="str">
            <v>CS0101-002</v>
          </cell>
        </row>
        <row r="9">
          <cell r="D9" t="str">
            <v>涂刷墙地固</v>
          </cell>
          <cell r="E9" t="str">
            <v>平米</v>
          </cell>
          <cell r="F9">
            <v>8</v>
          </cell>
          <cell r="G9" t="str">
            <v>按合同面积计算</v>
          </cell>
          <cell r="H9" t="str">
            <v>滚刷墙地固</v>
          </cell>
          <cell r="I9" t="str">
            <v>CS0101-003</v>
          </cell>
        </row>
        <row r="10">
          <cell r="D10" t="str">
            <v>铲墙皮</v>
          </cell>
          <cell r="E10" t="str">
            <v>平米</v>
          </cell>
          <cell r="F10">
            <v>18</v>
          </cell>
          <cell r="G10" t="str">
            <v>按合同面积计算</v>
          </cell>
          <cell r="H10" t="str">
            <v>包含原墙面顶面乳胶漆及基层的铲除、清理建渣等</v>
          </cell>
          <cell r="I10" t="str">
            <v>CS0101-004</v>
          </cell>
        </row>
        <row r="11">
          <cell r="D11" t="str">
            <v>精放线</v>
          </cell>
          <cell r="E11" t="str">
            <v>平米</v>
          </cell>
          <cell r="F11">
            <v>9</v>
          </cell>
          <cell r="G11" t="str">
            <v>按合同面积计算</v>
          </cell>
          <cell r="H11" t="str">
            <v>放水平线、中轴线、规方线、完成面线、吊顶线、新建墙体线、门洞定位线、点位线等</v>
          </cell>
          <cell r="I11" t="str">
            <v>CS0101-005</v>
          </cell>
        </row>
        <row r="12">
          <cell r="D12" t="str">
            <v>安全防护</v>
          </cell>
          <cell r="E12" t="str">
            <v>平米</v>
          </cell>
          <cell r="F12">
            <v>5</v>
          </cell>
          <cell r="G12" t="str">
            <v>按合同面积计算</v>
          </cell>
          <cell r="H12" t="str">
            <v>1.安全网种类、规格：安全网
2.其他辅材综合考虑</v>
          </cell>
          <cell r="I12" t="str">
            <v>CS0101-006</v>
          </cell>
        </row>
        <row r="13">
          <cell r="D13" t="str">
            <v>超高施工脚手架及措施费</v>
          </cell>
          <cell r="E13" t="str">
            <v>户</v>
          </cell>
          <cell r="F13">
            <v>2000</v>
          </cell>
          <cell r="G13" t="str">
            <v>按项计算，包含移动脚手架、水电超高施工费、超高施工安全措施费等
1.平层：超高区域面积50平米以内的（局部超高），按2000元/户计算；
2.平层：超高区域面积超过50平米的（局部超高），按3000元/户计算；
3.复式2层：超高区域面积50%以内的（局部超高），按4000元/户计算；
4.别墅3层：超高区域面积50%以内的（局部超过），按6000元/户计算；
备注：全屋超高面积超过50%或超高8米以上的费用另计，满堂红脚手架费用另计。</v>
          </cell>
          <cell r="H13" t="str">
            <v>包含超高区域搭建移动脚手架、水电改造超高施工费、超高施工安全措施费等</v>
          </cell>
          <cell r="I13" t="str">
            <v>CS0101-007</v>
          </cell>
          <cell r="J13" t="str">
            <v>个性</v>
          </cell>
          <cell r="K13" t="str">
            <v>否</v>
          </cell>
        </row>
        <row r="15">
          <cell r="D15" t="str">
            <v>墙体拆除（120墙）</v>
          </cell>
          <cell r="E15" t="str">
            <v>平米</v>
          </cell>
          <cell r="F15">
            <v>70</v>
          </cell>
          <cell r="G15" t="str">
            <v>按拆除面积计算，厚度超出部分按比例折算</v>
          </cell>
          <cell r="H15" t="str">
            <v>拆除120墙体</v>
          </cell>
          <cell r="I15" t="str">
            <v>CS0201-001</v>
          </cell>
          <cell r="J15" t="str">
            <v>√</v>
          </cell>
          <cell r="K15" t="str">
            <v>否</v>
          </cell>
        </row>
        <row r="16">
          <cell r="D16" t="str">
            <v>墙体拆除（240墙）</v>
          </cell>
          <cell r="E16" t="str">
            <v>平米</v>
          </cell>
          <cell r="F16">
            <v>85</v>
          </cell>
          <cell r="G16" t="str">
            <v>按拆除面积计算，厚度超出部分按比例折算</v>
          </cell>
          <cell r="H16" t="str">
            <v>拆除240墙体</v>
          </cell>
          <cell r="I16" t="str">
            <v>CS0201-002</v>
          </cell>
          <cell r="J16" t="str">
            <v>√</v>
          </cell>
          <cell r="K16" t="str">
            <v>否</v>
          </cell>
        </row>
        <row r="17">
          <cell r="D17" t="str">
            <v>拆除保温层</v>
          </cell>
          <cell r="E17" t="str">
            <v>平米</v>
          </cell>
          <cell r="F17">
            <v>25</v>
          </cell>
          <cell r="G17" t="str">
            <v>按拆除面积计算
适用于常规保温层拆除，若有钢丝网则按60元/平米计费</v>
          </cell>
          <cell r="H17" t="str">
            <v>拆除保温层或外墙漆</v>
          </cell>
          <cell r="I17" t="str">
            <v>CS0201-003</v>
          </cell>
          <cell r="J17" t="str">
            <v>√</v>
          </cell>
          <cell r="K17" t="str">
            <v>否</v>
          </cell>
        </row>
        <row r="18">
          <cell r="D18" t="str">
            <v>拆除外墙砖</v>
          </cell>
          <cell r="E18" t="str">
            <v>平米</v>
          </cell>
          <cell r="F18">
            <v>40</v>
          </cell>
          <cell r="G18" t="str">
            <v>按拆除面积计算</v>
          </cell>
          <cell r="H18" t="str">
            <v>拆除外墙砖</v>
          </cell>
          <cell r="I18" t="str">
            <v>CS0201-004</v>
          </cell>
          <cell r="J18" t="str">
            <v>√</v>
          </cell>
          <cell r="K18" t="str">
            <v>否</v>
          </cell>
        </row>
        <row r="19">
          <cell r="D19" t="str">
            <v>拆除混凝土墙及飘窗台</v>
          </cell>
          <cell r="E19" t="str">
            <v>平米</v>
          </cell>
          <cell r="F19">
            <v>400</v>
          </cell>
          <cell r="G19" t="str">
            <v>按拆除面积计算，飘窗台按展开面积计算
砖砌体按230元/平计算，混凝土飘窗按400元/平计算，不足1平米按1平米计算</v>
          </cell>
          <cell r="H19" t="str">
            <v>拆除混凝土墙或飘窗台，需客户签署免责协议，并需客户取得物业的签字同意</v>
          </cell>
          <cell r="I19" t="str">
            <v>CS0201-005</v>
          </cell>
          <cell r="J19" t="str">
            <v>√</v>
          </cell>
          <cell r="K19" t="str">
            <v>否</v>
          </cell>
        </row>
        <row r="20">
          <cell r="D20" t="str">
            <v>拆除混凝土梁、柱</v>
          </cell>
          <cell r="E20" t="str">
            <v>根</v>
          </cell>
          <cell r="F20">
            <v>200</v>
          </cell>
          <cell r="G20" t="str">
            <v>3米以内按根数计算,超出3米的部分按100元/米计费</v>
          </cell>
          <cell r="H20" t="str">
            <v>拆除钢筋混凝土地梁、二次结构的构造柱等（不包含主体结构、承重结构、外立面结构）</v>
          </cell>
          <cell r="I20" t="str">
            <v>CS0201-006</v>
          </cell>
          <cell r="J20" t="str">
            <v>√</v>
          </cell>
          <cell r="K20" t="str">
            <v>否</v>
          </cell>
        </row>
        <row r="21">
          <cell r="D21" t="str">
            <v>拆除室外/室内楼梯</v>
          </cell>
          <cell r="E21" t="str">
            <v>步</v>
          </cell>
          <cell r="F21">
            <v>158</v>
          </cell>
          <cell r="G21" t="str">
            <v>按踏步数计算</v>
          </cell>
          <cell r="H21" t="str">
            <v>包含室外/室内楼梯拆除、现场清理</v>
          </cell>
          <cell r="I21" t="str">
            <v>CS0201-007</v>
          </cell>
          <cell r="J21" t="str">
            <v>√</v>
          </cell>
          <cell r="K21" t="str">
            <v>否</v>
          </cell>
        </row>
        <row r="22">
          <cell r="D22" t="str">
            <v>挖掘卫生间回填层</v>
          </cell>
          <cell r="E22" t="str">
            <v>平米</v>
          </cell>
          <cell r="F22">
            <v>100</v>
          </cell>
          <cell r="G22" t="str">
            <v>按地面面积计算</v>
          </cell>
          <cell r="H22" t="str">
            <v>包含面层地砖及回填层拆除、清理、建渣清运输至物业指定的建渣堆放点</v>
          </cell>
          <cell r="I22" t="str">
            <v>CS0201-008</v>
          </cell>
          <cell r="J22" t="str">
            <v>√</v>
          </cell>
          <cell r="K22" t="str">
            <v>否</v>
          </cell>
        </row>
        <row r="23">
          <cell r="D23" t="str">
            <v>门窗、栏杆拆除</v>
          </cell>
          <cell r="E23" t="str">
            <v>个</v>
          </cell>
          <cell r="F23">
            <v>60</v>
          </cell>
          <cell r="G23" t="str">
            <v>1.按拆除门窗扇的个数计算
2.栏杆2米以内，超出按30元/米计费
3.客户不要的工人自行处理，不予收费</v>
          </cell>
          <cell r="H23" t="str">
            <v>拆除门、门套及门套基层，拆除防护栏杆</v>
          </cell>
          <cell r="I23" t="str">
            <v>CS0201-009</v>
          </cell>
          <cell r="J23" t="str">
            <v>√</v>
          </cell>
          <cell r="K23" t="str">
            <v>否</v>
          </cell>
        </row>
        <row r="24">
          <cell r="D24" t="str">
            <v>铲除外墙漆</v>
          </cell>
          <cell r="E24" t="str">
            <v>平米</v>
          </cell>
          <cell r="F24">
            <v>10</v>
          </cell>
          <cell r="G24" t="str">
            <v>按拆除面积计算</v>
          </cell>
          <cell r="H24" t="str">
            <v>包含拆除外前漆及基层，不含建筑外立面的施工</v>
          </cell>
          <cell r="I24" t="str">
            <v>CS0201-010</v>
          </cell>
          <cell r="J24" t="str">
            <v>√</v>
          </cell>
          <cell r="K24" t="str">
            <v>否</v>
          </cell>
        </row>
        <row r="25">
          <cell r="D25" t="str">
            <v>扩大门洞(含过梁)</v>
          </cell>
          <cell r="E25" t="str">
            <v>个</v>
          </cell>
          <cell r="F25">
            <v>150</v>
          </cell>
          <cell r="G25" t="str">
            <v>按拆除个数计算</v>
          </cell>
          <cell r="H25" t="str">
            <v>200mm以内的门洞扩宽，包含墙面切割拆除，含过梁的拆除</v>
          </cell>
          <cell r="I25" t="str">
            <v>CS0201-011</v>
          </cell>
          <cell r="J25" t="str">
            <v>√</v>
          </cell>
          <cell r="K25" t="str">
            <v>否</v>
          </cell>
        </row>
        <row r="26">
          <cell r="D26" t="str">
            <v>扩大门洞(不含过梁)</v>
          </cell>
          <cell r="E26" t="str">
            <v>个</v>
          </cell>
          <cell r="F26">
            <v>100</v>
          </cell>
          <cell r="G26" t="str">
            <v>按拆除个数计算</v>
          </cell>
          <cell r="H26" t="str">
            <v>100mm以内的门洞扩宽，包含墙面切割拆除，不含过梁</v>
          </cell>
          <cell r="I26" t="str">
            <v>CS0201-012</v>
          </cell>
          <cell r="J26" t="str">
            <v>√</v>
          </cell>
          <cell r="K26" t="str">
            <v>否</v>
          </cell>
        </row>
        <row r="27">
          <cell r="D27" t="str">
            <v>拆除二手房地砖（含抹灰层）</v>
          </cell>
          <cell r="E27" t="str">
            <v>平米</v>
          </cell>
          <cell r="F27">
            <v>48</v>
          </cell>
          <cell r="G27" t="str">
            <v>按拆除面积计算
指阳台等墙面砖，不含建筑外立面墙砖的拆除
(抹灰层厚度30mm以内，超出部分每增加10mm厚增加15元/平米)</v>
          </cell>
          <cell r="H27" t="str">
            <v>拆除外墙砖或水泥砂浆抹灰层</v>
          </cell>
          <cell r="I27" t="str">
            <v>CS0202-001</v>
          </cell>
          <cell r="J27" t="str">
            <v>√</v>
          </cell>
          <cell r="K27" t="str">
            <v>否</v>
          </cell>
        </row>
        <row r="28">
          <cell r="D28" t="str">
            <v>拆除吊顶</v>
          </cell>
          <cell r="E28" t="str">
            <v>平米</v>
          </cell>
          <cell r="F28">
            <v>30</v>
          </cell>
          <cell r="G28" t="str">
            <v>按拆除面积计算</v>
          </cell>
          <cell r="H28" t="str">
            <v>包含吊筋、龙骨、石膏板等拆除及垃圾清运至物业指定地点</v>
          </cell>
          <cell r="I28" t="str">
            <v>CS0202-002</v>
          </cell>
          <cell r="J28" t="str">
            <v>√</v>
          </cell>
          <cell r="K28" t="str">
            <v>否</v>
          </cell>
        </row>
        <row r="29">
          <cell r="D29" t="str">
            <v>铲除乳胶漆/墙纸及基层</v>
          </cell>
          <cell r="E29" t="str">
            <v>平米</v>
          </cell>
          <cell r="F29">
            <v>10</v>
          </cell>
          <cell r="G29" t="str">
            <v>按拆除面积计算</v>
          </cell>
          <cell r="H29" t="str">
            <v>铲除墙面墙纸及基层</v>
          </cell>
          <cell r="I29" t="str">
            <v>CS0202-003</v>
          </cell>
          <cell r="J29" t="str">
            <v>√</v>
          </cell>
          <cell r="K29" t="str">
            <v>否</v>
          </cell>
        </row>
        <row r="31">
          <cell r="D31" t="str">
            <v>新建60墙（红砖/多孔砖）</v>
          </cell>
          <cell r="E31" t="str">
            <v>平米</v>
          </cell>
          <cell r="F31">
            <v>270</v>
          </cell>
          <cell r="G31" t="str">
            <v>按新建面积计算</v>
          </cell>
          <cell r="H31" t="str">
            <v>包含铲墙皮、植筋、墙体砌筑、新旧墙体交接处挂网、墙面抹灰</v>
          </cell>
          <cell r="I31" t="str">
            <v>CS0301-001</v>
          </cell>
          <cell r="J31" t="str">
            <v>√</v>
          </cell>
          <cell r="K31" t="str">
            <v>否</v>
          </cell>
        </row>
        <row r="32">
          <cell r="D32" t="str">
            <v>新建120墙（红砖/多孔砖）</v>
          </cell>
          <cell r="E32" t="str">
            <v>平米</v>
          </cell>
          <cell r="F32">
            <v>300</v>
          </cell>
          <cell r="G32" t="str">
            <v>按新建面积计算
主要用于厨卫、生活阳台及承重区域</v>
          </cell>
          <cell r="H32" t="str">
            <v>包含铲墙皮、植筋、墙体砌筑、新旧墙体交接处挂网、墙面抹灰</v>
          </cell>
          <cell r="I32" t="str">
            <v>CS0301-002</v>
          </cell>
          <cell r="J32" t="str">
            <v>√</v>
          </cell>
          <cell r="K32" t="str">
            <v>否</v>
          </cell>
        </row>
        <row r="33">
          <cell r="D33" t="str">
            <v>新建120弧形砖墙（红砖/多孔砖）</v>
          </cell>
          <cell r="E33" t="str">
            <v>平米</v>
          </cell>
          <cell r="F33">
            <v>385</v>
          </cell>
          <cell r="G33" t="str">
            <v>按新建面积计算
主要用于厨卫、生活阳台及承重区域</v>
          </cell>
          <cell r="H33" t="str">
            <v>包含铲墙皮、植筋、墙体砌筑、新旧墙体交接处挂网、墙面抹灰</v>
          </cell>
          <cell r="I33" t="str">
            <v>C30301-019</v>
          </cell>
          <cell r="J33" t="str">
            <v>√</v>
          </cell>
          <cell r="K33" t="str">
            <v>否</v>
          </cell>
        </row>
        <row r="34">
          <cell r="D34" t="str">
            <v>新建240墙（红砖/多孔砖）</v>
          </cell>
          <cell r="E34" t="str">
            <v>平米</v>
          </cell>
          <cell r="F34">
            <v>420</v>
          </cell>
          <cell r="G34" t="str">
            <v>按新建面积计算
主要用于厨卫、生活阳台及承重区域</v>
          </cell>
          <cell r="H34" t="str">
            <v>包含铲墙皮、植筋、墙体砌筑、新旧墙体交接处挂网、墙面抹灰</v>
          </cell>
          <cell r="I34" t="str">
            <v>CS0301-003</v>
          </cell>
          <cell r="J34" t="str">
            <v>√</v>
          </cell>
          <cell r="K34" t="str">
            <v>否</v>
          </cell>
        </row>
        <row r="35">
          <cell r="D35" t="str">
            <v>新建360墙（红砖/多孔砖）</v>
          </cell>
          <cell r="E35" t="str">
            <v>平米</v>
          </cell>
          <cell r="F35">
            <v>520</v>
          </cell>
          <cell r="G35" t="str">
            <v>按新建面积计算
主要用于厨卫、生活阳台及承重区域</v>
          </cell>
          <cell r="H35" t="str">
            <v>包含铲墙皮、植筋、墙体砌筑、新旧墙体交接处挂网、墙面抹灰</v>
          </cell>
          <cell r="I35" t="str">
            <v>CS0301-004</v>
          </cell>
          <cell r="J35" t="str">
            <v>√</v>
          </cell>
          <cell r="K35" t="str">
            <v>否</v>
          </cell>
        </row>
        <row r="36">
          <cell r="D36" t="str">
            <v>新建120墙（轻质砖）</v>
          </cell>
          <cell r="E36" t="str">
            <v>平米</v>
          </cell>
          <cell r="F36">
            <v>280</v>
          </cell>
          <cell r="G36" t="str">
            <v>按新建面积计算
主要用于厨卫及生活阳台以外的非承重区域</v>
          </cell>
          <cell r="H36" t="str">
            <v>包含铲墙皮、植筋、墙体砌筑、新旧墙体交接处挂网、墙面抹灰</v>
          </cell>
          <cell r="I36" t="str">
            <v>CS0301-005</v>
          </cell>
          <cell r="J36" t="str">
            <v>√</v>
          </cell>
          <cell r="K36" t="str">
            <v>否</v>
          </cell>
        </row>
        <row r="37">
          <cell r="D37" t="str">
            <v>新建240墙（轻质砖）</v>
          </cell>
          <cell r="E37" t="str">
            <v>平米</v>
          </cell>
          <cell r="F37">
            <v>320</v>
          </cell>
          <cell r="G37" t="str">
            <v>按新建面积计算
主要用于厨卫及生活阳台以外的非承重区域</v>
          </cell>
          <cell r="H37" t="str">
            <v>包含铲墙皮、植筋、墙体砌筑、新旧墙体交接处挂网、墙面抹灰</v>
          </cell>
          <cell r="I37" t="str">
            <v>CS0301-006</v>
          </cell>
          <cell r="J37" t="str">
            <v>√</v>
          </cell>
          <cell r="K37" t="str">
            <v>否</v>
          </cell>
        </row>
        <row r="38">
          <cell r="D38" t="str">
            <v>新建360墙（轻质砖）</v>
          </cell>
          <cell r="E38" t="str">
            <v>平米</v>
          </cell>
          <cell r="F38">
            <v>450</v>
          </cell>
          <cell r="G38" t="str">
            <v>按新建面积计算
主要用于厨卫及生活阳台以外的非承重区域</v>
          </cell>
          <cell r="H38" t="str">
            <v>包含铲墙皮、植筋、墙体砌筑、新旧墙体交接处挂网、墙面抹灰</v>
          </cell>
          <cell r="I38" t="str">
            <v>CS0301-007</v>
          </cell>
          <cell r="J38" t="str">
            <v>√</v>
          </cell>
          <cell r="K38" t="str">
            <v>否</v>
          </cell>
        </row>
        <row r="39">
          <cell r="D39" t="str">
            <v>新建门垛（200mm宽以内）</v>
          </cell>
          <cell r="E39" t="str">
            <v>个</v>
          </cell>
          <cell r="F39">
            <v>200</v>
          </cell>
          <cell r="G39" t="str">
            <v>按个数计算</v>
          </cell>
          <cell r="H39" t="str">
            <v>包含植筋、墙体砌筑、新旧墙体交接处挂网</v>
          </cell>
          <cell r="I39" t="str">
            <v>CS0301-017</v>
          </cell>
          <cell r="J39" t="str">
            <v>√</v>
          </cell>
          <cell r="K39" t="str">
            <v>否</v>
          </cell>
        </row>
        <row r="40">
          <cell r="D40" t="str">
            <v>新建壁龛</v>
          </cell>
          <cell r="E40" t="str">
            <v>个</v>
          </cell>
          <cell r="F40">
            <v>100</v>
          </cell>
          <cell r="G40" t="str">
            <v>按个数计算</v>
          </cell>
          <cell r="H40" t="str">
            <v>包含墙体砌筑、新旧墙体交接处挂网</v>
          </cell>
          <cell r="I40" t="str">
            <v>CS0301-018</v>
          </cell>
          <cell r="J40" t="str">
            <v>√</v>
          </cell>
          <cell r="K40" t="str">
            <v>否</v>
          </cell>
        </row>
        <row r="41">
          <cell r="D41" t="str">
            <v>门窗洞修补（水泥砂浆）</v>
          </cell>
          <cell r="E41" t="str">
            <v>个</v>
          </cell>
          <cell r="F41">
            <v>150</v>
          </cell>
          <cell r="G41" t="str">
            <v>按个数计算</v>
          </cell>
          <cell r="H41" t="str">
            <v>水泥砂浆抹灰修补，适用于打拆后的门窗洞修补，不含过梁</v>
          </cell>
          <cell r="I41" t="str">
            <v>CS0301-009</v>
          </cell>
          <cell r="J41" t="str">
            <v>√</v>
          </cell>
          <cell r="K41" t="str">
            <v>否</v>
          </cell>
        </row>
        <row r="42">
          <cell r="D42" t="str">
            <v>门过梁施工（1.2米）</v>
          </cell>
          <cell r="E42" t="str">
            <v>根</v>
          </cell>
          <cell r="F42">
            <v>90</v>
          </cell>
          <cell r="G42" t="str">
            <v>按根数计算，墙厚140mm以内的墙使用1根，墙厚&gt;140mm的墙使用2根</v>
          </cell>
          <cell r="H42" t="str">
            <v>门洞宽900mm以内</v>
          </cell>
          <cell r="I42" t="str">
            <v>CS0301-010</v>
          </cell>
          <cell r="J42" t="str">
            <v>√</v>
          </cell>
          <cell r="K42" t="str">
            <v>否</v>
          </cell>
        </row>
        <row r="43">
          <cell r="D43" t="str">
            <v>门过梁施工（1.5米）</v>
          </cell>
          <cell r="E43" t="str">
            <v>根</v>
          </cell>
          <cell r="F43">
            <v>100</v>
          </cell>
          <cell r="G43" t="str">
            <v>按根数计算，墙厚140mm以内的墙使用1根，墙厚&gt;140mm的墙使用2根</v>
          </cell>
          <cell r="H43" t="str">
            <v>门洞宽1200mm以内</v>
          </cell>
          <cell r="I43" t="str">
            <v>CS0301-011</v>
          </cell>
          <cell r="J43" t="str">
            <v>√</v>
          </cell>
          <cell r="K43" t="str">
            <v>否</v>
          </cell>
        </row>
        <row r="44">
          <cell r="D44" t="str">
            <v>门过梁施工（2米）</v>
          </cell>
          <cell r="E44" t="str">
            <v>根</v>
          </cell>
          <cell r="F44">
            <v>110</v>
          </cell>
          <cell r="G44" t="str">
            <v>按根数计算，墙厚140mm以内的墙使用1根，墙厚&gt;140mm的墙使用2根</v>
          </cell>
          <cell r="H44" t="str">
            <v>门洞宽1600mm以内</v>
          </cell>
          <cell r="I44" t="str">
            <v>CS0301-012</v>
          </cell>
          <cell r="J44" t="str">
            <v>√</v>
          </cell>
          <cell r="K44" t="str">
            <v>否</v>
          </cell>
        </row>
        <row r="45">
          <cell r="D45" t="str">
            <v>门钢架过梁施工（3米）</v>
          </cell>
          <cell r="E45" t="str">
            <v>根</v>
          </cell>
          <cell r="F45">
            <v>150</v>
          </cell>
          <cell r="G45" t="str">
            <v>按根数计算，墙厚140mm以内的墙使用1根，墙厚&gt;140mm的墙使用2根</v>
          </cell>
          <cell r="H45" t="str">
            <v>门洞宽度大于2米小于2.6米的</v>
          </cell>
          <cell r="I45" t="str">
            <v>CS0301-013</v>
          </cell>
          <cell r="J45" t="str">
            <v>√</v>
          </cell>
          <cell r="K45" t="str">
            <v>否</v>
          </cell>
        </row>
        <row r="46">
          <cell r="D46" t="str">
            <v>断面修补</v>
          </cell>
          <cell r="E46" t="str">
            <v>米</v>
          </cell>
          <cell r="F46">
            <v>40</v>
          </cell>
          <cell r="G46" t="str">
            <v>按延长米数计算</v>
          </cell>
        </row>
        <row r="46">
          <cell r="I46" t="str">
            <v>CS0303-002</v>
          </cell>
          <cell r="J46" t="str">
            <v>√</v>
          </cell>
          <cell r="K46" t="str">
            <v>否</v>
          </cell>
        </row>
        <row r="47">
          <cell r="D47" t="str">
            <v>打拆后墙地面恢复（水泥砂浆修补找平）</v>
          </cell>
          <cell r="E47" t="str">
            <v>平米</v>
          </cell>
          <cell r="F47">
            <v>60</v>
          </cell>
          <cell r="G47" t="str">
            <v>按施工面积计算
找平厚度30mm以内，超出部分每增加10mm厚增加10元/平米</v>
          </cell>
        </row>
        <row r="47">
          <cell r="I47" t="str">
            <v>CS0303-001</v>
          </cell>
          <cell r="J47" t="str">
            <v>√</v>
          </cell>
          <cell r="K47" t="str">
            <v>否</v>
          </cell>
        </row>
        <row r="48">
          <cell r="D48" t="str">
            <v>空鼓拆除及修复</v>
          </cell>
          <cell r="E48" t="str">
            <v>平米</v>
          </cell>
          <cell r="F48">
            <v>75</v>
          </cell>
          <cell r="G48" t="str">
            <v>单处空鼓面积小于1㎡按1㎡计算，大于1㎡按实际面积计算</v>
          </cell>
          <cell r="H48" t="str">
            <v>空鼓拆除及修复处理等</v>
          </cell>
          <cell r="I48" t="str">
            <v>CS0301-015</v>
          </cell>
          <cell r="J48" t="str">
            <v>√</v>
          </cell>
          <cell r="K48" t="str">
            <v>否</v>
          </cell>
        </row>
        <row r="49">
          <cell r="D49" t="str">
            <v>原建筑补烂修复</v>
          </cell>
          <cell r="E49" t="str">
            <v>平米</v>
          </cell>
          <cell r="F49">
            <v>50</v>
          </cell>
          <cell r="G49" t="str">
            <v>按施工面积计算</v>
          </cell>
          <cell r="H49" t="str">
            <v>打拆之后的门窗洞及墙地面用水泥砂浆抹平，或剔除最高点后修复处理等</v>
          </cell>
          <cell r="I49" t="str">
            <v>CS0301-016</v>
          </cell>
          <cell r="J49" t="str">
            <v>√</v>
          </cell>
          <cell r="K49" t="str">
            <v>否</v>
          </cell>
        </row>
        <row r="50">
          <cell r="D50" t="str">
            <v>浴缸基座（砌体）</v>
          </cell>
          <cell r="E50" t="str">
            <v>个</v>
          </cell>
          <cell r="F50">
            <v>1980</v>
          </cell>
          <cell r="G50" t="str">
            <v>2米以内按个数计算
超出部分按150元/10cm计算</v>
          </cell>
          <cell r="H50" t="str">
            <v>新建浴缸基座+抹灰+涂刷防水涂料+预留检修口（面材的主材和施工单独计算，不含浴缸的供应安装）</v>
          </cell>
          <cell r="I50" t="str">
            <v>CS0302-001</v>
          </cell>
          <cell r="J50" t="str">
            <v>个性</v>
          </cell>
          <cell r="K50" t="str">
            <v>否</v>
          </cell>
        </row>
        <row r="51">
          <cell r="D51" t="str">
            <v>浴缸基座（钢架）</v>
          </cell>
          <cell r="E51" t="str">
            <v>个</v>
          </cell>
          <cell r="F51">
            <v>2450</v>
          </cell>
          <cell r="G51" t="str">
            <v>2米以内按个数计算
超出部分按200元/10cm计算</v>
          </cell>
          <cell r="H51" t="str">
            <v>焊接浴缸钢架基座+涂刷防锈漆+涂刷防水涂料+预留检修口（面材的主材和施工单独计算，不含浴缸的供应安装）</v>
          </cell>
          <cell r="I51" t="str">
            <v>CS0302-002</v>
          </cell>
          <cell r="J51" t="str">
            <v>个性</v>
          </cell>
          <cell r="K51" t="str">
            <v>否</v>
          </cell>
        </row>
        <row r="52">
          <cell r="D52" t="str">
            <v>浴缸基座（三面靠墙）及安装</v>
          </cell>
          <cell r="E52" t="str">
            <v>个</v>
          </cell>
          <cell r="F52">
            <v>4800</v>
          </cell>
          <cell r="G52" t="str">
            <v>2米以内按个数计算
超出部分按300元/10cm计算</v>
          </cell>
          <cell r="H52" t="str">
            <v>砌砖墙+抹灰+检修口+贴石材（标配石材）+人工+浴缸安装（不含浴缸的供应）</v>
          </cell>
          <cell r="I52" t="str">
            <v>CS0302-003</v>
          </cell>
          <cell r="J52" t="str">
            <v>个性</v>
          </cell>
          <cell r="K52" t="str">
            <v>否</v>
          </cell>
        </row>
        <row r="53">
          <cell r="D53" t="str">
            <v>浴缸基座（两面靠墙）及安装</v>
          </cell>
          <cell r="E53" t="str">
            <v>个</v>
          </cell>
          <cell r="F53">
            <v>5600</v>
          </cell>
          <cell r="G53" t="str">
            <v>2米以内按个数计算
超出部分按400元/10cm计算</v>
          </cell>
          <cell r="H53" t="str">
            <v>砌砖墙+抹灰+检修口+贴石材（标配石材）+人工+浴缸安装（不含浴缸的供应）</v>
          </cell>
          <cell r="I53" t="str">
            <v>CS0302-004</v>
          </cell>
          <cell r="J53" t="str">
            <v>个性</v>
          </cell>
          <cell r="K53" t="str">
            <v>否</v>
          </cell>
        </row>
        <row r="55">
          <cell r="D55" t="str">
            <v>水电开孔（直径≤φ80mm）</v>
          </cell>
          <cell r="E55" t="str">
            <v>个</v>
          </cell>
          <cell r="F55">
            <v>40</v>
          </cell>
          <cell r="G55" t="str">
            <v>按个数计算</v>
          </cell>
          <cell r="H55" t="str">
            <v>包含墙面钻孔、垃圾清理</v>
          </cell>
          <cell r="I55" t="str">
            <v>CS0802-001</v>
          </cell>
        </row>
        <row r="55">
          <cell r="K55" t="str">
            <v>是</v>
          </cell>
        </row>
        <row r="56">
          <cell r="D56" t="str">
            <v>水电开孔（φ80mm&lt;直径≤120mm）</v>
          </cell>
          <cell r="E56" t="str">
            <v>个</v>
          </cell>
          <cell r="F56">
            <v>50</v>
          </cell>
          <cell r="G56" t="str">
            <v>按个数计算</v>
          </cell>
          <cell r="H56" t="str">
            <v>包含墙面钻孔、垃圾清理</v>
          </cell>
          <cell r="I56" t="str">
            <v>CS0802-002</v>
          </cell>
        </row>
        <row r="56">
          <cell r="K56" t="str">
            <v>是</v>
          </cell>
        </row>
        <row r="57">
          <cell r="D57" t="str">
            <v>水电开孔（φ120mm&lt;直径≤200mm）</v>
          </cell>
          <cell r="E57" t="str">
            <v>个</v>
          </cell>
          <cell r="F57">
            <v>100</v>
          </cell>
          <cell r="G57" t="str">
            <v>按个数计算</v>
          </cell>
          <cell r="H57" t="str">
            <v>包含墙面钻孔、垃圾清理</v>
          </cell>
          <cell r="I57" t="str">
            <v>CS0802-003</v>
          </cell>
        </row>
        <row r="57">
          <cell r="K57" t="str">
            <v>是</v>
          </cell>
        </row>
        <row r="58">
          <cell r="D58" t="str">
            <v>增加照明点位</v>
          </cell>
          <cell r="E58" t="str">
            <v>个</v>
          </cell>
          <cell r="F58">
            <v>85</v>
          </cell>
          <cell r="G58" t="str">
            <v>按点位数计算</v>
          </cell>
          <cell r="H58" t="str">
            <v>不含灯具</v>
          </cell>
          <cell r="I58" t="str">
            <v>CS0803-001</v>
          </cell>
        </row>
        <row r="58">
          <cell r="K58" t="str">
            <v>否</v>
          </cell>
        </row>
        <row r="59">
          <cell r="D59" t="str">
            <v>增加普通插座/备用电源/开关</v>
          </cell>
          <cell r="E59" t="str">
            <v>个</v>
          </cell>
          <cell r="F59">
            <v>160</v>
          </cell>
          <cell r="G59" t="str">
            <v>按点位数计算</v>
          </cell>
          <cell r="H59" t="str">
            <v>含标配面板</v>
          </cell>
          <cell r="I59" t="str">
            <v>CS0803-002</v>
          </cell>
        </row>
        <row r="59">
          <cell r="K59" t="str">
            <v>否</v>
          </cell>
        </row>
        <row r="60">
          <cell r="D60" t="str">
            <v>增加壁灯电源</v>
          </cell>
          <cell r="E60" t="str">
            <v>个</v>
          </cell>
          <cell r="F60">
            <v>100</v>
          </cell>
          <cell r="G60" t="str">
            <v>按点位数计算</v>
          </cell>
          <cell r="H60" t="str">
            <v>不含灯具</v>
          </cell>
          <cell r="I60" t="str">
            <v>CS0803-020</v>
          </cell>
        </row>
        <row r="60">
          <cell r="K60" t="str">
            <v>否</v>
          </cell>
        </row>
        <row r="61">
          <cell r="D61" t="str">
            <v>增加踏步灯电源</v>
          </cell>
          <cell r="E61" t="str">
            <v>个</v>
          </cell>
          <cell r="F61">
            <v>50</v>
          </cell>
          <cell r="G61" t="str">
            <v>按点位数计算</v>
          </cell>
          <cell r="H61" t="str">
            <v>不含灯具</v>
          </cell>
          <cell r="I61" t="str">
            <v>CS0803-021</v>
          </cell>
        </row>
        <row r="61">
          <cell r="K61" t="str">
            <v>否</v>
          </cell>
        </row>
        <row r="62">
          <cell r="D62" t="str">
            <v>增加大功率电器插座（4平方）</v>
          </cell>
          <cell r="E62" t="str">
            <v>个</v>
          </cell>
          <cell r="F62">
            <v>580</v>
          </cell>
          <cell r="G62" t="str">
            <v>按点位数计算</v>
          </cell>
          <cell r="H62" t="str">
            <v>含标配面板</v>
          </cell>
          <cell r="I62" t="str">
            <v>CS0803-003</v>
          </cell>
        </row>
        <row r="62">
          <cell r="K62" t="str">
            <v>否</v>
          </cell>
        </row>
        <row r="63">
          <cell r="D63" t="str">
            <v>增加大功率电器插座（6平方）</v>
          </cell>
          <cell r="E63" t="str">
            <v>个</v>
          </cell>
          <cell r="F63">
            <v>680</v>
          </cell>
          <cell r="G63" t="str">
            <v>按个数计算</v>
          </cell>
          <cell r="H63" t="str">
            <v>含标配面板</v>
          </cell>
          <cell r="I63" t="str">
            <v>CS0803-004</v>
          </cell>
        </row>
        <row r="63">
          <cell r="K63" t="str">
            <v>否</v>
          </cell>
        </row>
        <row r="64">
          <cell r="D64" t="str">
            <v>增加地插</v>
          </cell>
          <cell r="E64" t="str">
            <v>个</v>
          </cell>
          <cell r="F64">
            <v>380</v>
          </cell>
          <cell r="G64" t="str">
            <v>按个数计算</v>
          </cell>
          <cell r="H64" t="str">
            <v>含标配面板</v>
          </cell>
          <cell r="I64" t="str">
            <v>CS0803-005</v>
          </cell>
        </row>
        <row r="64">
          <cell r="K64" t="str">
            <v>否</v>
          </cell>
        </row>
        <row r="65">
          <cell r="D65" t="str">
            <v>普通插座升级地插</v>
          </cell>
          <cell r="E65" t="str">
            <v>个</v>
          </cell>
          <cell r="F65">
            <v>200</v>
          </cell>
          <cell r="G65" t="str">
            <v>按个数计算</v>
          </cell>
          <cell r="H65" t="str">
            <v>含标配面板</v>
          </cell>
          <cell r="I65" t="str">
            <v>CS0803-006</v>
          </cell>
        </row>
        <row r="65">
          <cell r="K65" t="str">
            <v>否</v>
          </cell>
        </row>
        <row r="66">
          <cell r="D66" t="str">
            <v>普通插座升级USB插座</v>
          </cell>
          <cell r="E66" t="str">
            <v>个</v>
          </cell>
          <cell r="F66">
            <v>80</v>
          </cell>
          <cell r="G66" t="str">
            <v>按个数计算</v>
          </cell>
          <cell r="H66" t="str">
            <v>含标配面板</v>
          </cell>
          <cell r="I66" t="str">
            <v>CS0803-007</v>
          </cell>
        </row>
        <row r="66">
          <cell r="K66" t="str">
            <v>否</v>
          </cell>
        </row>
        <row r="67">
          <cell r="D67" t="str">
            <v>增加网络电视电话插座</v>
          </cell>
          <cell r="E67" t="str">
            <v>个</v>
          </cell>
          <cell r="F67">
            <v>580</v>
          </cell>
          <cell r="G67" t="str">
            <v>按点位数计算</v>
          </cell>
          <cell r="H67" t="str">
            <v>含标配面板</v>
          </cell>
          <cell r="I67" t="str">
            <v>CS0803-008</v>
          </cell>
        </row>
        <row r="67">
          <cell r="K67" t="str">
            <v>否</v>
          </cell>
        </row>
        <row r="68">
          <cell r="D68" t="str">
            <v>增加小夜灯</v>
          </cell>
          <cell r="E68" t="str">
            <v>个</v>
          </cell>
          <cell r="F68">
            <v>360</v>
          </cell>
          <cell r="G68" t="str">
            <v>按个数计算</v>
          </cell>
          <cell r="H68" t="str">
            <v>含标配面板</v>
          </cell>
          <cell r="I68" t="str">
            <v>CS0803-009</v>
          </cell>
        </row>
        <row r="68">
          <cell r="K68" t="str">
            <v>否</v>
          </cell>
        </row>
        <row r="69">
          <cell r="D69" t="str">
            <v>增加/更换手报</v>
          </cell>
          <cell r="E69" t="str">
            <v>个</v>
          </cell>
          <cell r="F69">
            <v>280</v>
          </cell>
          <cell r="G69" t="str">
            <v>按个数计算</v>
          </cell>
          <cell r="H69" t="str">
            <v>含标配面板</v>
          </cell>
          <cell r="I69" t="str">
            <v>CS0803-010</v>
          </cell>
          <cell r="J69" t="str">
            <v>√</v>
          </cell>
          <cell r="K69" t="str">
            <v>含</v>
          </cell>
        </row>
        <row r="70">
          <cell r="D70" t="str">
            <v>平层-电箱全改（合同面积≤150㎡）</v>
          </cell>
          <cell r="E70" t="str">
            <v>套</v>
          </cell>
          <cell r="F70">
            <v>1580</v>
          </cell>
          <cell r="G70" t="str">
            <v>按套数计算</v>
          </cell>
          <cell r="H70" t="str">
            <v>包含强电箱更换、安装、固定、安装空开、排线、接线等</v>
          </cell>
          <cell r="I70" t="str">
            <v>CS0803-011</v>
          </cell>
          <cell r="J70" t="str">
            <v>个性</v>
          </cell>
          <cell r="K70" t="str">
            <v>否</v>
          </cell>
        </row>
        <row r="71">
          <cell r="D71" t="str">
            <v>平层-电箱全改（150㎡&lt;合同面积≤200㎡）</v>
          </cell>
          <cell r="E71" t="str">
            <v>套</v>
          </cell>
          <cell r="F71">
            <v>2280</v>
          </cell>
          <cell r="G71" t="str">
            <v>按套数计算
复式+500元/户，别墅+1000元/户</v>
          </cell>
          <cell r="H71" t="str">
            <v>包含强电箱更换、安装、固定、安装空开、排线、接线等</v>
          </cell>
          <cell r="I71" t="str">
            <v>CS0803-012</v>
          </cell>
          <cell r="J71" t="str">
            <v>个性</v>
          </cell>
          <cell r="K71" t="str">
            <v>否</v>
          </cell>
        </row>
        <row r="72">
          <cell r="D72" t="str">
            <v>平层-电箱全改（合同面积＞200㎡）</v>
          </cell>
          <cell r="E72" t="str">
            <v>套</v>
          </cell>
          <cell r="F72">
            <v>2780</v>
          </cell>
          <cell r="G72" t="str">
            <v>按套数计算
复式+500元/户，别墅+1000元/户</v>
          </cell>
          <cell r="H72" t="str">
            <v>包含强电箱更换、安装、固定、安装空开、排线、接线等</v>
          </cell>
          <cell r="I72" t="str">
            <v>CS0803-013</v>
          </cell>
          <cell r="J72" t="str">
            <v>个性</v>
          </cell>
          <cell r="K72" t="str">
            <v>否</v>
          </cell>
        </row>
        <row r="73">
          <cell r="D73" t="str">
            <v>更换空开</v>
          </cell>
          <cell r="E73" t="str">
            <v>个</v>
          </cell>
          <cell r="F73">
            <v>150</v>
          </cell>
          <cell r="G73" t="str">
            <v>按个数计算</v>
          </cell>
          <cell r="H73" t="str">
            <v>包含空开更换、安装、接线等</v>
          </cell>
          <cell r="I73" t="str">
            <v>CS0803-014</v>
          </cell>
          <cell r="J73" t="str">
            <v>个性</v>
          </cell>
          <cell r="K73" t="str">
            <v>否</v>
          </cell>
        </row>
        <row r="74">
          <cell r="D74" t="str">
            <v>弱电箱全改</v>
          </cell>
          <cell r="E74" t="str">
            <v>套</v>
          </cell>
          <cell r="F74">
            <v>600</v>
          </cell>
          <cell r="G74" t="str">
            <v>按套数计算</v>
          </cell>
          <cell r="H74" t="str">
            <v>包含弱电箱更换、安装、固定、接线、测试等</v>
          </cell>
          <cell r="I74" t="str">
            <v>CS0803-015</v>
          </cell>
          <cell r="J74" t="str">
            <v>个性</v>
          </cell>
          <cell r="K74" t="str">
            <v>否</v>
          </cell>
        </row>
        <row r="75">
          <cell r="D75" t="str">
            <v>强电箱移位</v>
          </cell>
          <cell r="E75" t="str">
            <v>套</v>
          </cell>
          <cell r="F75">
            <v>580</v>
          </cell>
          <cell r="G75" t="str">
            <v>按套数计算</v>
          </cell>
          <cell r="H75" t="str">
            <v>包含开槽移位，排线接线等，不含电箱入户主线，主线部分按时收方包</v>
          </cell>
          <cell r="I75" t="str">
            <v>CS0803-016</v>
          </cell>
          <cell r="J75" t="str">
            <v>个性</v>
          </cell>
          <cell r="K75" t="str">
            <v>否</v>
          </cell>
        </row>
        <row r="76">
          <cell r="D76" t="str">
            <v>弱电箱移位</v>
          </cell>
          <cell r="E76" t="str">
            <v>套</v>
          </cell>
          <cell r="F76">
            <v>480</v>
          </cell>
          <cell r="G76" t="str">
            <v>按套数计算</v>
          </cell>
          <cell r="H76" t="str">
            <v>包含开槽移位，排线接线等，不含网络主线，线路部分按时收方</v>
          </cell>
          <cell r="I76" t="str">
            <v>CS0803-017</v>
          </cell>
          <cell r="J76" t="str">
            <v>个性</v>
          </cell>
          <cell r="K76" t="str">
            <v>否</v>
          </cell>
        </row>
        <row r="77">
          <cell r="D77" t="str">
            <v>中央空调电源线（内机）</v>
          </cell>
          <cell r="E77" t="str">
            <v>个</v>
          </cell>
          <cell r="F77">
            <v>500</v>
          </cell>
          <cell r="G77" t="str">
            <v>按空调内机个数计算</v>
          </cell>
          <cell r="H77" t="str">
            <v>包含开槽、布管布线等</v>
          </cell>
          <cell r="I77" t="str">
            <v>CS0803-018</v>
          </cell>
          <cell r="J77" t="str">
            <v>个性</v>
          </cell>
          <cell r="K77" t="str">
            <v>否</v>
          </cell>
        </row>
        <row r="78">
          <cell r="D78" t="str">
            <v>中央空调电源线（外机）</v>
          </cell>
          <cell r="E78" t="str">
            <v>个</v>
          </cell>
          <cell r="F78">
            <v>1200</v>
          </cell>
          <cell r="G78" t="str">
            <v>按空调外机个数计算</v>
          </cell>
          <cell r="H78" t="str">
            <v>包含开槽、布管布线等</v>
          </cell>
          <cell r="I78" t="str">
            <v>CS0803-019</v>
          </cell>
          <cell r="J78" t="str">
            <v>个性</v>
          </cell>
          <cell r="K78" t="str">
            <v>否</v>
          </cell>
        </row>
        <row r="79">
          <cell r="D79" t="str">
            <v>大循环水改造（合同面积≤150㎡）</v>
          </cell>
          <cell r="E79" t="str">
            <v>户</v>
          </cell>
          <cell r="F79">
            <v>1699</v>
          </cell>
          <cell r="G79" t="str">
            <v>按户数计算</v>
          </cell>
          <cell r="H79" t="str">
            <v>包含开槽、布管、管件安装等</v>
          </cell>
          <cell r="I79" t="str">
            <v>CS0804-001</v>
          </cell>
          <cell r="J79" t="str">
            <v>个性</v>
          </cell>
          <cell r="K79" t="str">
            <v>否</v>
          </cell>
        </row>
        <row r="80">
          <cell r="D80" t="str">
            <v>大循环水改造（150㎡&lt;合同面积≤220㎡）</v>
          </cell>
          <cell r="E80" t="str">
            <v>户</v>
          </cell>
          <cell r="F80">
            <v>2199</v>
          </cell>
          <cell r="G80" t="str">
            <v>按户数计算</v>
          </cell>
          <cell r="H80" t="str">
            <v>包含开槽、布管、管件安装等</v>
          </cell>
          <cell r="I80" t="str">
            <v>CS0804-002</v>
          </cell>
          <cell r="J80" t="str">
            <v>个性</v>
          </cell>
          <cell r="K80" t="str">
            <v>否</v>
          </cell>
        </row>
        <row r="81">
          <cell r="D81" t="str">
            <v>大循环水改造（合同面积＞220㎡）</v>
          </cell>
          <cell r="E81" t="str">
            <v>户</v>
          </cell>
          <cell r="F81">
            <v>2899</v>
          </cell>
          <cell r="G81" t="str">
            <v>按户数计算</v>
          </cell>
          <cell r="H81" t="str">
            <v>包含开槽、布管、管件安装等</v>
          </cell>
          <cell r="I81" t="str">
            <v>CS0804-003</v>
          </cell>
          <cell r="J81" t="str">
            <v>个性</v>
          </cell>
          <cell r="K81" t="str">
            <v>否</v>
          </cell>
        </row>
        <row r="82">
          <cell r="D82" t="str">
            <v>照明线路-2.5</v>
          </cell>
          <cell r="E82" t="str">
            <v>米</v>
          </cell>
          <cell r="F82">
            <v>38</v>
          </cell>
          <cell r="G82" t="str">
            <v>按延长米计算，最低收费3米</v>
          </cell>
          <cell r="H82" t="str">
            <v>包含开槽、布管、布线、管件安装等</v>
          </cell>
          <cell r="I82" t="str">
            <v>CS0805-001</v>
          </cell>
        </row>
        <row r="82">
          <cell r="K82" t="str">
            <v>是</v>
          </cell>
        </row>
        <row r="83">
          <cell r="D83" t="str">
            <v>插座线路-2.5</v>
          </cell>
          <cell r="E83" t="str">
            <v>米</v>
          </cell>
          <cell r="F83">
            <v>38</v>
          </cell>
          <cell r="G83" t="str">
            <v>按延长米计算，最低收费3米</v>
          </cell>
          <cell r="H83" t="str">
            <v>包含开槽、布管、布线、管件安装等</v>
          </cell>
          <cell r="I83" t="str">
            <v>CS0805-002</v>
          </cell>
        </row>
        <row r="83">
          <cell r="K83" t="str">
            <v>是</v>
          </cell>
        </row>
        <row r="84">
          <cell r="D84" t="str">
            <v>插座线路-4.0</v>
          </cell>
          <cell r="E84" t="str">
            <v>米</v>
          </cell>
          <cell r="F84">
            <v>45</v>
          </cell>
          <cell r="G84" t="str">
            <v>按延长米计算，最低收费3米</v>
          </cell>
          <cell r="H84" t="str">
            <v>包含开槽、布管、布线、管件安装等</v>
          </cell>
          <cell r="I84" t="str">
            <v>CS0805-003</v>
          </cell>
        </row>
        <row r="84">
          <cell r="K84" t="str">
            <v>是</v>
          </cell>
        </row>
        <row r="85">
          <cell r="D85" t="str">
            <v>电源线路-6.0（220V）</v>
          </cell>
          <cell r="E85" t="str">
            <v>米</v>
          </cell>
          <cell r="F85">
            <v>55</v>
          </cell>
          <cell r="G85" t="str">
            <v>按延长米计算，入户主线按时收方</v>
          </cell>
          <cell r="H85" t="str">
            <v>包含开槽、布管、布线、管件安装等</v>
          </cell>
          <cell r="I85" t="str">
            <v>CS0805-004</v>
          </cell>
        </row>
        <row r="85">
          <cell r="K85" t="str">
            <v>否</v>
          </cell>
        </row>
        <row r="86">
          <cell r="D86" t="str">
            <v>电源线路-10.0（220V）</v>
          </cell>
          <cell r="E86" t="str">
            <v>米</v>
          </cell>
          <cell r="F86">
            <v>85</v>
          </cell>
          <cell r="G86" t="str">
            <v>按延长米计算，入户主线按时收方</v>
          </cell>
          <cell r="H86" t="str">
            <v>包含开槽、布管、布线、管件安装等</v>
          </cell>
          <cell r="I86" t="str">
            <v>CS0805-005</v>
          </cell>
        </row>
        <row r="86">
          <cell r="K86" t="str">
            <v>否</v>
          </cell>
        </row>
        <row r="87">
          <cell r="D87" t="str">
            <v>电源线路-16.0（220V）</v>
          </cell>
          <cell r="E87" t="str">
            <v>米</v>
          </cell>
          <cell r="F87">
            <v>116</v>
          </cell>
          <cell r="G87" t="str">
            <v>按延长米计算，入户主线按时收方</v>
          </cell>
          <cell r="H87" t="str">
            <v>包含开槽、布管、布线、管件安装等</v>
          </cell>
          <cell r="I87" t="str">
            <v>CS0805-006</v>
          </cell>
        </row>
        <row r="87">
          <cell r="K87" t="str">
            <v>否</v>
          </cell>
        </row>
        <row r="88">
          <cell r="D88" t="str">
            <v>电源线路-6.0（380V）</v>
          </cell>
          <cell r="E88" t="str">
            <v>米</v>
          </cell>
          <cell r="F88">
            <v>88</v>
          </cell>
          <cell r="G88" t="str">
            <v>按延长米计算，入户主线按时收方</v>
          </cell>
          <cell r="H88" t="str">
            <v>包含开槽、布管、布线、管件安装等</v>
          </cell>
          <cell r="I88" t="str">
            <v>CS0805-007</v>
          </cell>
        </row>
        <row r="88">
          <cell r="K88" t="str">
            <v>否</v>
          </cell>
        </row>
        <row r="89">
          <cell r="D89" t="str">
            <v>电源线路-10.0（380V）</v>
          </cell>
          <cell r="E89" t="str">
            <v>米</v>
          </cell>
          <cell r="F89">
            <v>120</v>
          </cell>
          <cell r="G89" t="str">
            <v>按延长米计算，入户主线按时收方</v>
          </cell>
          <cell r="H89" t="str">
            <v>包含开槽、布管、布线、管件安装等</v>
          </cell>
          <cell r="I89" t="str">
            <v>CS0805-008</v>
          </cell>
        </row>
        <row r="89">
          <cell r="K89" t="str">
            <v>否</v>
          </cell>
        </row>
        <row r="90">
          <cell r="D90" t="str">
            <v>电源线路-16.0（380V）</v>
          </cell>
          <cell r="E90" t="str">
            <v>米</v>
          </cell>
          <cell r="F90">
            <v>150</v>
          </cell>
          <cell r="G90" t="str">
            <v>按延长米计算，入户主线按时收方</v>
          </cell>
          <cell r="H90" t="str">
            <v>包含开槽、布管、布线、管件安装等</v>
          </cell>
          <cell r="I90" t="str">
            <v>CS0805-009</v>
          </cell>
        </row>
        <row r="90">
          <cell r="K90" t="str">
            <v>否</v>
          </cell>
        </row>
        <row r="91">
          <cell r="D91" t="str">
            <v>电源线路-25.0（380V）</v>
          </cell>
          <cell r="E91" t="str">
            <v>米</v>
          </cell>
          <cell r="F91">
            <v>258</v>
          </cell>
          <cell r="G91" t="str">
            <v>按延长米计算，入户主线按时收方</v>
          </cell>
          <cell r="H91" t="str">
            <v>包含开槽、布管、布线、管件安装等</v>
          </cell>
          <cell r="I91" t="str">
            <v>CS0805-013</v>
          </cell>
        </row>
        <row r="91">
          <cell r="K91" t="str">
            <v>否</v>
          </cell>
        </row>
        <row r="92">
          <cell r="D92" t="str">
            <v>弱电线路(超五类)</v>
          </cell>
          <cell r="E92" t="str">
            <v>米</v>
          </cell>
          <cell r="F92">
            <v>36</v>
          </cell>
          <cell r="G92" t="str">
            <v>按延长米计算</v>
          </cell>
          <cell r="H92" t="str">
            <v>包含开槽、布管、布线、管件安装等</v>
          </cell>
          <cell r="I92" t="str">
            <v>CS0805-010</v>
          </cell>
        </row>
        <row r="92">
          <cell r="K92" t="str">
            <v>是</v>
          </cell>
        </row>
        <row r="93">
          <cell r="D93" t="str">
            <v>弱电线路(六类)</v>
          </cell>
          <cell r="E93" t="str">
            <v>米</v>
          </cell>
          <cell r="F93">
            <v>36</v>
          </cell>
          <cell r="G93" t="str">
            <v>按延长米计算</v>
          </cell>
          <cell r="H93" t="str">
            <v>包含开槽、布管、布线、管件安装等</v>
          </cell>
          <cell r="I93" t="str">
            <v>CS0805-011</v>
          </cell>
        </row>
        <row r="93">
          <cell r="K93" t="str">
            <v>是</v>
          </cell>
        </row>
        <row r="94">
          <cell r="D94" t="str">
            <v>底盒安装（砖墙）</v>
          </cell>
          <cell r="E94" t="str">
            <v>个</v>
          </cell>
          <cell r="F94">
            <v>15</v>
          </cell>
          <cell r="G94" t="str">
            <v>按个数计算</v>
          </cell>
          <cell r="H94" t="str">
            <v>包含开槽、底盒固定</v>
          </cell>
          <cell r="I94" t="str">
            <v>CS0805-012</v>
          </cell>
        </row>
        <row r="94">
          <cell r="K94" t="str">
            <v>是</v>
          </cell>
        </row>
        <row r="95">
          <cell r="D95" t="str">
            <v>底盒安装（混凝土墙）</v>
          </cell>
          <cell r="E95" t="str">
            <v>个</v>
          </cell>
          <cell r="F95">
            <v>25</v>
          </cell>
          <cell r="G95" t="str">
            <v>按个数计算</v>
          </cell>
          <cell r="H95" t="str">
            <v>包含开槽、底盒固定</v>
          </cell>
          <cell r="I95" t="str">
            <v>CS0805-013</v>
          </cell>
        </row>
        <row r="95">
          <cell r="K95" t="str">
            <v>是</v>
          </cell>
        </row>
        <row r="96">
          <cell r="D96" t="str">
            <v>PPR给水管-φ20</v>
          </cell>
          <cell r="E96" t="str">
            <v>米</v>
          </cell>
          <cell r="F96">
            <v>75</v>
          </cell>
          <cell r="G96" t="str">
            <v>按延长米计算，最低收费3米</v>
          </cell>
          <cell r="H96" t="str">
            <v>包含开槽、布管、管件安装等</v>
          </cell>
          <cell r="I96" t="str">
            <v>CS0806-001</v>
          </cell>
        </row>
        <row r="96">
          <cell r="K96" t="str">
            <v>是</v>
          </cell>
        </row>
        <row r="97">
          <cell r="D97" t="str">
            <v>PPR给水管-φ25</v>
          </cell>
          <cell r="E97" t="str">
            <v>米</v>
          </cell>
          <cell r="F97">
            <v>80</v>
          </cell>
          <cell r="G97" t="str">
            <v>按延长米计算，最低收费3米</v>
          </cell>
          <cell r="H97" t="str">
            <v>包含开槽、布管、管件安装等</v>
          </cell>
          <cell r="I97" t="str">
            <v>CS0806-002</v>
          </cell>
        </row>
        <row r="97">
          <cell r="K97" t="str">
            <v>是</v>
          </cell>
        </row>
        <row r="98">
          <cell r="D98" t="str">
            <v>PPR给水管-φ32</v>
          </cell>
          <cell r="E98" t="str">
            <v>米</v>
          </cell>
          <cell r="F98">
            <v>90</v>
          </cell>
          <cell r="G98" t="str">
            <v>按延长米计算，最低收费3米</v>
          </cell>
          <cell r="H98" t="str">
            <v>包含开槽、布管、管件安装等</v>
          </cell>
          <cell r="I98" t="str">
            <v>CS0806-003</v>
          </cell>
        </row>
        <row r="98">
          <cell r="K98" t="str">
            <v>是</v>
          </cell>
        </row>
        <row r="99">
          <cell r="D99" t="str">
            <v>TECE给水管-φ16
（含分集水器）</v>
          </cell>
          <cell r="E99" t="str">
            <v>米</v>
          </cell>
          <cell r="F99">
            <v>90</v>
          </cell>
          <cell r="G99" t="str">
            <v>按延长米计算，最低收费3米</v>
          </cell>
          <cell r="H99" t="str">
            <v>包含开槽、布管、管件安装等</v>
          </cell>
          <cell r="I99" t="str">
            <v>CS0806-004</v>
          </cell>
        </row>
        <row r="99">
          <cell r="K99" t="str">
            <v>升级</v>
          </cell>
        </row>
        <row r="100">
          <cell r="D100" t="str">
            <v>TECE给水管-φ20</v>
          </cell>
          <cell r="E100" t="str">
            <v>米</v>
          </cell>
          <cell r="F100">
            <v>90</v>
          </cell>
          <cell r="G100" t="str">
            <v>按延长米计算，最低收费3米</v>
          </cell>
          <cell r="H100" t="str">
            <v>包含开槽、布管、管件安装等</v>
          </cell>
          <cell r="I100" t="str">
            <v>CS0806-005</v>
          </cell>
        </row>
        <row r="100">
          <cell r="K100" t="str">
            <v>升级</v>
          </cell>
        </row>
        <row r="101">
          <cell r="D101" t="str">
            <v>TECE给水管-φ25</v>
          </cell>
          <cell r="E101" t="str">
            <v>米</v>
          </cell>
          <cell r="F101">
            <v>95</v>
          </cell>
          <cell r="G101" t="str">
            <v>按延长米计算，最低收费3米</v>
          </cell>
          <cell r="H101" t="str">
            <v>包含开槽、布管、管件安装等</v>
          </cell>
          <cell r="I101" t="str">
            <v>CS0806-006</v>
          </cell>
        </row>
        <row r="101">
          <cell r="K101" t="str">
            <v>升级</v>
          </cell>
        </row>
        <row r="102">
          <cell r="D102" t="str">
            <v>增加给水点位</v>
          </cell>
          <cell r="E102" t="str">
            <v>个</v>
          </cell>
          <cell r="F102">
            <v>200</v>
          </cell>
          <cell r="G102" t="str">
            <v>施工范围内按点位数计算，施工范围外的点位按实际情况费用另算</v>
          </cell>
          <cell r="H102" t="str">
            <v>包含开槽、布管、管件安装等</v>
          </cell>
          <cell r="I102" t="str">
            <v>CS0806-007</v>
          </cell>
        </row>
        <row r="102">
          <cell r="K102" t="str">
            <v>否</v>
          </cell>
        </row>
        <row r="103">
          <cell r="D103" t="str">
            <v>PVC排水管-φ50</v>
          </cell>
          <cell r="E103" t="str">
            <v>米</v>
          </cell>
          <cell r="F103">
            <v>75</v>
          </cell>
          <cell r="G103" t="str">
            <v>按延长米计算，最低收费3米</v>
          </cell>
          <cell r="H103" t="str">
            <v>包含布管、管件安装等</v>
          </cell>
          <cell r="I103" t="str">
            <v>CS0807-001</v>
          </cell>
        </row>
        <row r="103">
          <cell r="K103" t="str">
            <v>是</v>
          </cell>
        </row>
        <row r="104">
          <cell r="D104" t="str">
            <v>PVC排水管-φ75</v>
          </cell>
          <cell r="E104" t="str">
            <v>米</v>
          </cell>
          <cell r="F104">
            <v>90</v>
          </cell>
          <cell r="G104" t="str">
            <v>按延长米计算，最低收费3米</v>
          </cell>
          <cell r="H104" t="str">
            <v>包含布管、管件安装等</v>
          </cell>
          <cell r="I104" t="str">
            <v>CS0807-002</v>
          </cell>
        </row>
        <row r="104">
          <cell r="K104" t="str">
            <v>是</v>
          </cell>
        </row>
        <row r="105">
          <cell r="D105" t="str">
            <v>PVC排水管-φ110</v>
          </cell>
          <cell r="E105" t="str">
            <v>米</v>
          </cell>
          <cell r="F105">
            <v>145</v>
          </cell>
          <cell r="G105" t="str">
            <v>按延长米计算，最低收费3米</v>
          </cell>
          <cell r="H105" t="str">
            <v>包含布管、管件安装等</v>
          </cell>
          <cell r="I105" t="str">
            <v>CS0807-003</v>
          </cell>
        </row>
        <row r="105">
          <cell r="K105" t="str">
            <v>是</v>
          </cell>
        </row>
        <row r="106">
          <cell r="D106" t="str">
            <v>增加PVC排水点位</v>
          </cell>
          <cell r="E106" t="str">
            <v>个</v>
          </cell>
          <cell r="F106">
            <v>200</v>
          </cell>
          <cell r="G106" t="str">
            <v>施工范围内按点位数计算，施工范围外的点位按实际情况费用另算</v>
          </cell>
          <cell r="H106" t="str">
            <v>包含布管、管件安装等</v>
          </cell>
          <cell r="I106" t="str">
            <v>CS0807-004</v>
          </cell>
        </row>
        <row r="106">
          <cell r="K106" t="str">
            <v>否</v>
          </cell>
        </row>
        <row r="107">
          <cell r="D107" t="str">
            <v>暗埋花洒</v>
          </cell>
          <cell r="E107" t="str">
            <v>个</v>
          </cell>
          <cell r="F107">
            <v>300</v>
          </cell>
          <cell r="G107" t="str">
            <v>按个数计算</v>
          </cell>
          <cell r="H107" t="str">
            <v>包含墙面开槽、预埋件预埋施工，预埋件甲供。
若客户自购主材，需请供应商到场指导施工。</v>
          </cell>
          <cell r="I107" t="str">
            <v>CS0808-001</v>
          </cell>
        </row>
        <row r="107">
          <cell r="K107" t="str">
            <v>否</v>
          </cell>
        </row>
        <row r="108">
          <cell r="D108" t="str">
            <v>暗埋龙头</v>
          </cell>
          <cell r="E108" t="str">
            <v>个</v>
          </cell>
          <cell r="F108">
            <v>300</v>
          </cell>
          <cell r="G108" t="str">
            <v>按个数计算</v>
          </cell>
          <cell r="H108" t="str">
            <v>包含墙面开槽、预埋件预埋施工，预埋件甲供。
若客户自购主材，需请供应商到场指导施工。</v>
          </cell>
          <cell r="I108" t="str">
            <v>CS0808-002</v>
          </cell>
        </row>
        <row r="108">
          <cell r="K108" t="str">
            <v>否</v>
          </cell>
        </row>
        <row r="109">
          <cell r="D109" t="str">
            <v>暗埋水箱</v>
          </cell>
          <cell r="E109" t="str">
            <v>个</v>
          </cell>
          <cell r="F109">
            <v>400</v>
          </cell>
          <cell r="G109" t="str">
            <v>按个数计算</v>
          </cell>
          <cell r="H109" t="str">
            <v>预埋件安装，龙骨加固，隐藏水箱安装。若客户自购主材，需请供应商到场指导施工。</v>
          </cell>
          <cell r="I109" t="str">
            <v>CS0808-003</v>
          </cell>
        </row>
        <row r="109">
          <cell r="K109" t="str">
            <v>否</v>
          </cell>
        </row>
        <row r="110">
          <cell r="D110" t="str">
            <v>壁挂马桶预埋</v>
          </cell>
          <cell r="E110" t="str">
            <v>个</v>
          </cell>
          <cell r="F110">
            <v>400</v>
          </cell>
          <cell r="G110" t="str">
            <v>按个数计算</v>
          </cell>
          <cell r="H110" t="str">
            <v>包含预埋件预埋施工，预埋件甲供。
若客户自购主材，若客户自购主材，需请供应商到场指导施工。</v>
          </cell>
          <cell r="I110" t="str">
            <v>CS0808-004</v>
          </cell>
        </row>
        <row r="110">
          <cell r="K110" t="str">
            <v>否</v>
          </cell>
        </row>
        <row r="111">
          <cell r="D111" t="str">
            <v>平层水电半改（PPR)</v>
          </cell>
          <cell r="E111" t="str">
            <v>平米</v>
          </cell>
          <cell r="F111">
            <v>139</v>
          </cell>
          <cell r="G111" t="str">
            <v>按合同面积计算，超出标准部分，费用计算规则详见《水电计价标准》</v>
          </cell>
          <cell r="H111" t="str">
            <v>包含开槽、开孔、强弱电改造、空开关调试、给排水改造、通水通电测试等</v>
          </cell>
          <cell r="I111" t="str">
            <v>CS0801-001</v>
          </cell>
          <cell r="J111" t="str">
            <v>√
仅清水房可用</v>
          </cell>
          <cell r="K111" t="str">
            <v>是</v>
          </cell>
        </row>
        <row r="112">
          <cell r="D112" t="str">
            <v>复式水电半改（PPR)</v>
          </cell>
          <cell r="E112" t="str">
            <v>平米</v>
          </cell>
          <cell r="F112">
            <v>169</v>
          </cell>
          <cell r="G112" t="str">
            <v>按合同面积计算，超出标准部分，费用计算规则详见《水电计价标准》</v>
          </cell>
          <cell r="H112" t="str">
            <v>包含开槽、开孔、强弱电改造、空开关调试、给排水改造、通水通电测试等</v>
          </cell>
          <cell r="I112" t="str">
            <v>CS0801-002</v>
          </cell>
          <cell r="J112" t="str">
            <v>×
不卖</v>
          </cell>
          <cell r="K112" t="str">
            <v>是</v>
          </cell>
        </row>
        <row r="113">
          <cell r="D113" t="str">
            <v>平层水电全改（PPR）</v>
          </cell>
          <cell r="E113" t="str">
            <v>平米</v>
          </cell>
          <cell r="F113">
            <v>259</v>
          </cell>
          <cell r="G113" t="str">
            <v>按合同面积计算，超出标准部分，费用计算规则详见《水电计价标准》</v>
          </cell>
          <cell r="H113" t="str">
            <v>包含开槽、开孔、强弱电改造、空开关调试、给排水改造、通水通电测试等</v>
          </cell>
          <cell r="I113" t="str">
            <v>CS0801-003</v>
          </cell>
          <cell r="J113" t="str">
            <v>可选</v>
          </cell>
          <cell r="K113" t="str">
            <v>1299、1399、1499、1980等，按原套餐标准执行</v>
          </cell>
        </row>
        <row r="114">
          <cell r="D114" t="str">
            <v>复式水电全改（PPR）</v>
          </cell>
          <cell r="E114" t="str">
            <v>平米</v>
          </cell>
          <cell r="F114">
            <v>299</v>
          </cell>
          <cell r="G114" t="str">
            <v>按合同面积计算，超出标准部分，费用计算规则详见《水电计价标准》</v>
          </cell>
          <cell r="H114" t="str">
            <v>包含开槽、开孔、强弱电改造、空开关调试、给排水改造、通水通电测试等</v>
          </cell>
          <cell r="I114" t="str">
            <v>CS0801-004</v>
          </cell>
          <cell r="J114" t="str">
            <v>可选</v>
          </cell>
          <cell r="K114" t="str">
            <v>1299、1399、1499、1980等，按原套餐标准执行</v>
          </cell>
        </row>
        <row r="115">
          <cell r="D115" t="str">
            <v>别墅水电全改（PPR）</v>
          </cell>
          <cell r="E115" t="str">
            <v>平米</v>
          </cell>
          <cell r="F115">
            <v>299</v>
          </cell>
          <cell r="G115" t="str">
            <v>按合同面积计算，超出标准部分，费用计算规则详见《水电计价标准》</v>
          </cell>
          <cell r="H115" t="str">
            <v>包含开槽、开孔、强弱电改造、空开关调试、给排水改造、通水通电测试等</v>
          </cell>
          <cell r="I115" t="str">
            <v>CS0801-005</v>
          </cell>
          <cell r="J115" t="str">
            <v>可选</v>
          </cell>
          <cell r="K115" t="str">
            <v>1299、1399、1499、1980等，按原套餐标准执行</v>
          </cell>
        </row>
        <row r="116">
          <cell r="D116" t="str">
            <v>平层水电全改（进口PPR）</v>
          </cell>
          <cell r="E116" t="str">
            <v>平米</v>
          </cell>
          <cell r="F116">
            <v>289</v>
          </cell>
          <cell r="G116" t="str">
            <v>按合同面积计算，超出标准部分，费用计算规则详见《水电计价标准》</v>
          </cell>
          <cell r="H116" t="str">
            <v>包含开槽、开孔、强弱电改造、空开关调试、给排水改造、通水通电测试等</v>
          </cell>
          <cell r="I116" t="str">
            <v>CS0801-012</v>
          </cell>
          <cell r="J116" t="str">
            <v>可选</v>
          </cell>
          <cell r="K116" t="str">
            <v>1299、1399、1499、1980等，按原套餐标准执行</v>
          </cell>
        </row>
        <row r="117">
          <cell r="D117" t="str">
            <v>复式水电全改（进口PPR）</v>
          </cell>
          <cell r="E117" t="str">
            <v>平米</v>
          </cell>
          <cell r="F117">
            <v>339</v>
          </cell>
          <cell r="G117" t="str">
            <v>按合同面积计算，超出标准部分，费用计算规则详见《水电计价标准》</v>
          </cell>
          <cell r="H117" t="str">
            <v>包含开槽、开孔、强弱电改造、空开关调试、给排水改造、通水通电测试等</v>
          </cell>
          <cell r="I117" t="str">
            <v>CS0801-013</v>
          </cell>
          <cell r="J117" t="str">
            <v>可选</v>
          </cell>
          <cell r="K117" t="str">
            <v>1299、1399、1499、1980等，按原套餐标准执行</v>
          </cell>
        </row>
        <row r="118">
          <cell r="D118" t="str">
            <v>别墅水电全改（进口PPR）</v>
          </cell>
          <cell r="E118" t="str">
            <v>平米</v>
          </cell>
          <cell r="F118">
            <v>339</v>
          </cell>
          <cell r="G118" t="str">
            <v>按合同面积计算，超出标准部分，费用计算规则详见《水电计价标准》</v>
          </cell>
          <cell r="H118" t="str">
            <v>包含开槽、开孔、强弱电改造、空开关调试、给排水改造、通水通电测试等</v>
          </cell>
          <cell r="I118" t="str">
            <v>CS0801-014</v>
          </cell>
          <cell r="J118" t="str">
            <v>可选</v>
          </cell>
          <cell r="K118" t="str">
            <v>1299、1399、1499、1980等，按原套餐标准执行</v>
          </cell>
        </row>
        <row r="119">
          <cell r="D119" t="str">
            <v>平层水电全改（进口一管到底）</v>
          </cell>
          <cell r="E119" t="str">
            <v>平米</v>
          </cell>
          <cell r="F119">
            <v>339</v>
          </cell>
          <cell r="G119" t="str">
            <v>按合同面积计算，超出标准部分，费用计算规则详见《水电计价标准》</v>
          </cell>
          <cell r="H119" t="str">
            <v>包含开槽、开孔、强弱电改造、空开关调试、给排水改造、通水通电测试等</v>
          </cell>
          <cell r="I119" t="str">
            <v>CS0801-006</v>
          </cell>
          <cell r="J119" t="str">
            <v>可选</v>
          </cell>
          <cell r="K119" t="str">
            <v>1299、1399、1499、1980等，按原套餐标准执行</v>
          </cell>
        </row>
        <row r="120">
          <cell r="D120" t="str">
            <v>复式水电全改（进口一管到底）</v>
          </cell>
          <cell r="E120" t="str">
            <v>平米</v>
          </cell>
          <cell r="F120">
            <v>399</v>
          </cell>
          <cell r="G120" t="str">
            <v>按合同面积计算，超出标准部分，费用计算规则详见《水电计价标准》</v>
          </cell>
          <cell r="H120" t="str">
            <v>包含开槽、开孔、强弱电改造、空开关调试、给排水改造、通水通电测试等</v>
          </cell>
          <cell r="I120" t="str">
            <v>CS0801-007</v>
          </cell>
          <cell r="J120" t="str">
            <v>可选</v>
          </cell>
          <cell r="K120" t="str">
            <v>1299、1399、1499、1980等，按原套餐标准执行</v>
          </cell>
        </row>
        <row r="121">
          <cell r="D121" t="str">
            <v>别墅水电全改（进口一管到底）</v>
          </cell>
          <cell r="E121" t="str">
            <v>平米</v>
          </cell>
          <cell r="F121">
            <v>399</v>
          </cell>
          <cell r="G121" t="str">
            <v>按合同面积计算，超出标准部分，费用计算规则详见《水电计价标准》</v>
          </cell>
          <cell r="H121" t="str">
            <v>包含开槽、开孔、强弱电改造、空开关调试、给排水改造、通水通电测试等</v>
          </cell>
          <cell r="I121" t="str">
            <v>CS0801-008</v>
          </cell>
          <cell r="J121" t="str">
            <v>可选</v>
          </cell>
          <cell r="K121" t="str">
            <v>1299、1399、1499、1980等，按原套餐标准执行</v>
          </cell>
        </row>
        <row r="122">
          <cell r="D122" t="str">
            <v>普通智能开关线路</v>
          </cell>
          <cell r="E122" t="str">
            <v>平米</v>
          </cell>
          <cell r="F122">
            <v>18</v>
          </cell>
          <cell r="G122" t="str">
            <v>按合同面积计算</v>
          </cell>
          <cell r="H122" t="str">
            <v>每个开关单独走零线</v>
          </cell>
          <cell r="I122" t="str">
            <v>CS0801-009</v>
          </cell>
          <cell r="J122" t="str">
            <v>个性</v>
          </cell>
          <cell r="K122" t="str">
            <v>否</v>
          </cell>
        </row>
        <row r="123">
          <cell r="D123" t="str">
            <v>总线智能控制线路</v>
          </cell>
          <cell r="E123" t="str">
            <v>平米</v>
          </cell>
          <cell r="F123">
            <v>49</v>
          </cell>
          <cell r="G123" t="str">
            <v>按合同面积计算（不含专用的弱电控制线）</v>
          </cell>
          <cell r="H123" t="str">
            <v>每组灯具单独走线至智能控制箱，每个开关单独走线至控制箱，专用的弱电控制线（开关控制线）客户提供</v>
          </cell>
          <cell r="I123" t="str">
            <v>CS0801-010</v>
          </cell>
          <cell r="J123" t="str">
            <v>个性</v>
          </cell>
          <cell r="K123" t="str">
            <v>否</v>
          </cell>
        </row>
        <row r="124">
          <cell r="D124" t="str">
            <v>强弱电排线走天花</v>
          </cell>
          <cell r="E124" t="str">
            <v>平米</v>
          </cell>
          <cell r="F124">
            <v>39</v>
          </cell>
          <cell r="G124" t="str">
            <v>按合同面积计算</v>
          </cell>
          <cell r="H124" t="str">
            <v>适用于因开发商原始建筑原因地面无法开槽的项目</v>
          </cell>
          <cell r="I124" t="str">
            <v>CS0801-011</v>
          </cell>
          <cell r="J124" t="str">
            <v>个性</v>
          </cell>
          <cell r="K124" t="str">
            <v>否</v>
          </cell>
        </row>
        <row r="126">
          <cell r="D126" t="str">
            <v>地暖前地面粗找平（厚度50mm以内）</v>
          </cell>
          <cell r="E126" t="str">
            <v>平米</v>
          </cell>
          <cell r="F126">
            <v>70</v>
          </cell>
          <cell r="G126" t="str">
            <v>按施工面积计算</v>
          </cell>
          <cell r="H126" t="str">
            <v>地暖施工前地面水泥河沙找平处理</v>
          </cell>
          <cell r="I126" t="str">
            <v>CS1001-002</v>
          </cell>
          <cell r="J126" t="str">
            <v>个性</v>
          </cell>
          <cell r="K126" t="str">
            <v>否</v>
          </cell>
        </row>
        <row r="127">
          <cell r="D127" t="str">
            <v>陶粒回填+保护层</v>
          </cell>
          <cell r="E127" t="str">
            <v>立方</v>
          </cell>
          <cell r="F127">
            <v>780</v>
          </cell>
          <cell r="G127" t="str">
            <v>按回填方量计算</v>
          </cell>
          <cell r="H127" t="str">
            <v>陶粒回填找平</v>
          </cell>
          <cell r="I127" t="str">
            <v>CS1002-001</v>
          </cell>
          <cell r="J127" t="str">
            <v>个性</v>
          </cell>
          <cell r="K127" t="str">
            <v>是
仅含卫生间</v>
          </cell>
        </row>
        <row r="128">
          <cell r="D128" t="str">
            <v>陶粒回填+保护层（厚度150mm以内）</v>
          </cell>
          <cell r="E128" t="str">
            <v>平米</v>
          </cell>
          <cell r="F128">
            <v>150</v>
          </cell>
          <cell r="G128" t="str">
            <v>按回填区域面积计算</v>
          </cell>
          <cell r="H128" t="str">
            <v>陶粒回填找平</v>
          </cell>
          <cell r="I128" t="str">
            <v>CS1002-002</v>
          </cell>
          <cell r="J128" t="str">
            <v>个性</v>
          </cell>
          <cell r="K128" t="str">
            <v>否</v>
          </cell>
        </row>
        <row r="129">
          <cell r="D129" t="str">
            <v>水泥砂浆精找平</v>
          </cell>
          <cell r="E129" t="str">
            <v>平米</v>
          </cell>
          <cell r="F129">
            <v>70</v>
          </cell>
          <cell r="G129" t="str">
            <v>按施工面积计算
找平厚度30mm以内，超出部分每增加10mm厚增加15元/平米</v>
          </cell>
          <cell r="H129" t="str">
            <v>水泥砂浆找平，找平厚度≤30mm</v>
          </cell>
          <cell r="I129" t="str">
            <v>CS1004-001</v>
          </cell>
          <cell r="J129" t="str">
            <v>地板区域</v>
          </cell>
          <cell r="K129" t="str">
            <v>是
仅地板区域</v>
          </cell>
        </row>
        <row r="130">
          <cell r="D130" t="str">
            <v>楼梯踏步精找平</v>
          </cell>
          <cell r="E130" t="str">
            <v>步</v>
          </cell>
          <cell r="F130">
            <v>90</v>
          </cell>
          <cell r="G130" t="str">
            <v>按踏步数计算，平台算两步</v>
          </cell>
          <cell r="H130" t="str">
            <v>水泥砂浆找平，找平厚度≤30mm</v>
          </cell>
          <cell r="I130" t="str">
            <v>CS1005-001</v>
          </cell>
        </row>
        <row r="130">
          <cell r="K130" t="str">
            <v>否</v>
          </cell>
        </row>
        <row r="131">
          <cell r="D131" t="str">
            <v>地面固化处理</v>
          </cell>
          <cell r="E131" t="str">
            <v>平米</v>
          </cell>
          <cell r="F131">
            <v>485</v>
          </cell>
          <cell r="G131" t="str">
            <v>按施工面积计算
地面厚度100mm以内</v>
          </cell>
          <cell r="H131" t="str">
            <v>地面植钢筋、支模、混凝土浇筑找平</v>
          </cell>
          <cell r="I131" t="str">
            <v>CS1006-002</v>
          </cell>
        </row>
        <row r="131">
          <cell r="K131" t="str">
            <v>否</v>
          </cell>
        </row>
        <row r="133">
          <cell r="D133" t="str">
            <v>防水</v>
          </cell>
          <cell r="E133" t="str">
            <v>平米</v>
          </cell>
          <cell r="F133">
            <v>65</v>
          </cell>
          <cell r="G133" t="str">
            <v>按施工面积计算</v>
          </cell>
          <cell r="H133" t="str">
            <v>1.卫生间：沉箱地面清理，四周做R角处理，做柔性防水，防水超出沉箱上返300mm高，地面回填找平后做柔性防水+丙纶防水，墙面通用防水
2.厨房、阳台：地面清理后做柔性防水，墙面通用防水</v>
          </cell>
          <cell r="I133" t="str">
            <v>CS1104-001</v>
          </cell>
          <cell r="J133" t="str">
            <v>√</v>
          </cell>
          <cell r="K133" t="str">
            <v>是</v>
          </cell>
        </row>
        <row r="134">
          <cell r="D134" t="str">
            <v>墙面新防水</v>
          </cell>
          <cell r="E134" t="str">
            <v>平米</v>
          </cell>
          <cell r="F134">
            <v>368</v>
          </cell>
          <cell r="G134" t="str">
            <v>按施工面积计算</v>
          </cell>
          <cell r="H134" t="str">
            <v>墙面意大利防水布施工，湿区满铺，干区非用水区按工艺部标准施工，接缝处粘贴密封纸、阴阳角防水处理、打胶等</v>
          </cell>
          <cell r="I134" t="str">
            <v>CS1102-001</v>
          </cell>
          <cell r="J134" t="str">
            <v>个性</v>
          </cell>
          <cell r="K134" t="str">
            <v>升级</v>
          </cell>
        </row>
        <row r="135">
          <cell r="D135" t="str">
            <v>地面新防水</v>
          </cell>
          <cell r="E135" t="str">
            <v>平米</v>
          </cell>
          <cell r="F135">
            <v>520</v>
          </cell>
          <cell r="G135" t="str">
            <v>按施工面积计算</v>
          </cell>
          <cell r="H135" t="str">
            <v>地面意大利防水垫施工，满铺，接缝处粘贴密封纸、阴阳角防水处理、打胶等</v>
          </cell>
          <cell r="I135" t="str">
            <v>CS1102-002</v>
          </cell>
          <cell r="J135" t="str">
            <v>个性</v>
          </cell>
          <cell r="K135" t="str">
            <v>升级</v>
          </cell>
        </row>
        <row r="136">
          <cell r="D136" t="str">
            <v>防水保护层</v>
          </cell>
          <cell r="E136" t="str">
            <v>平米</v>
          </cell>
          <cell r="F136">
            <v>45</v>
          </cell>
          <cell r="G136" t="str">
            <v>按施工面积计算</v>
          </cell>
          <cell r="H136" t="str">
            <v>水泥河沙保护层施工</v>
          </cell>
          <cell r="I136" t="str">
            <v>CS1001-001</v>
          </cell>
        </row>
        <row r="136">
          <cell r="K136" t="str">
            <v>是
仅含厨卫</v>
          </cell>
        </row>
        <row r="137">
          <cell r="D137" t="str">
            <v>地下室地面丙纶防水+保护层</v>
          </cell>
          <cell r="E137" t="str">
            <v>平米</v>
          </cell>
          <cell r="F137">
            <v>65</v>
          </cell>
          <cell r="G137" t="str">
            <v>按施工面积计算</v>
          </cell>
          <cell r="H137" t="str">
            <v>两层丙纶防水+防水保护层</v>
          </cell>
          <cell r="I137" t="str">
            <v>CS1103-001</v>
          </cell>
          <cell r="J137" t="str">
            <v>个性</v>
          </cell>
          <cell r="K137" t="str">
            <v>否</v>
          </cell>
        </row>
        <row r="138">
          <cell r="D138" t="str">
            <v>地下室墙面丙纶防水+挤塑板+墙面挂玻纤网</v>
          </cell>
          <cell r="E138" t="str">
            <v>平米</v>
          </cell>
          <cell r="F138">
            <v>65</v>
          </cell>
          <cell r="G138" t="str">
            <v>按施工面积计算</v>
          </cell>
          <cell r="H138" t="str">
            <v>两层丙纶防水+挤塑板</v>
          </cell>
          <cell r="I138" t="str">
            <v>CS1103-002</v>
          </cell>
          <cell r="J138" t="str">
            <v>个性</v>
          </cell>
          <cell r="K138" t="str">
            <v>否</v>
          </cell>
        </row>
        <row r="140">
          <cell r="D140" t="str">
            <v>增加平顶（双层板）</v>
          </cell>
          <cell r="E140" t="str">
            <v>平米</v>
          </cell>
          <cell r="F140">
            <v>235</v>
          </cell>
          <cell r="G140" t="str">
            <v>按展开面积计算</v>
          </cell>
          <cell r="H140" t="str">
            <v>包含打眼、吊筋、主副龙骨、双层石膏板安装、转角加固等</v>
          </cell>
          <cell r="I140" t="str">
            <v>CS1301-001</v>
          </cell>
          <cell r="J140" t="str">
            <v>个性</v>
          </cell>
          <cell r="K140" t="str">
            <v>否</v>
          </cell>
        </row>
        <row r="141">
          <cell r="D141" t="str">
            <v>增加边顶（双层板）</v>
          </cell>
          <cell r="E141" t="str">
            <v>平米</v>
          </cell>
          <cell r="F141">
            <v>258</v>
          </cell>
          <cell r="G141" t="str">
            <v>按展开面积计算</v>
          </cell>
          <cell r="H141" t="str">
            <v>包含打眼、吊筋、主副龙骨、双层石膏板安装、转角加固等</v>
          </cell>
          <cell r="I141" t="str">
            <v>CS1301-002</v>
          </cell>
          <cell r="J141" t="str">
            <v>个性</v>
          </cell>
          <cell r="K141" t="str">
            <v>否</v>
          </cell>
        </row>
        <row r="142">
          <cell r="D142" t="str">
            <v>增加跌级吊顶（双层板）</v>
          </cell>
          <cell r="E142" t="str">
            <v>平米</v>
          </cell>
          <cell r="F142">
            <v>278</v>
          </cell>
          <cell r="G142" t="str">
            <v>按展开面积计算
适用于二级以内的跌级顶</v>
          </cell>
          <cell r="H142" t="str">
            <v>包含打眼、吊筋、主副龙骨、双层石膏板安装、转角加固等</v>
          </cell>
          <cell r="I142" t="str">
            <v>CS1301-003</v>
          </cell>
          <cell r="J142" t="str">
            <v>个性</v>
          </cell>
          <cell r="K142" t="str">
            <v>否</v>
          </cell>
        </row>
        <row r="143">
          <cell r="D143" t="str">
            <v>增加造型顶</v>
          </cell>
          <cell r="E143" t="str">
            <v>平米</v>
          </cell>
          <cell r="F143">
            <v>325</v>
          </cell>
          <cell r="G143" t="str">
            <v>按展开面积计算
适用于三级及以上的跌级顶、圆形顶、弧形顶、斜屋顶等，其余特殊顶单独报价。</v>
          </cell>
          <cell r="H143" t="str">
            <v>包含打眼、吊筋、主副龙骨、双层石膏板安装、转角加固等</v>
          </cell>
          <cell r="I143" t="str">
            <v>CS1301-004</v>
          </cell>
          <cell r="J143" t="str">
            <v>个性</v>
          </cell>
          <cell r="K143" t="str">
            <v>否</v>
          </cell>
        </row>
        <row r="144">
          <cell r="D144" t="str">
            <v>增加防潮石膏板造型顶</v>
          </cell>
          <cell r="E144" t="str">
            <v>平米</v>
          </cell>
          <cell r="F144">
            <v>368</v>
          </cell>
          <cell r="G144" t="str">
            <v>按展开面积计算</v>
          </cell>
          <cell r="H144" t="str">
            <v>包含打眼、吊筋、主副龙骨、双层石膏板安装、转角加固等</v>
          </cell>
          <cell r="I144" t="str">
            <v>CS1301-009</v>
          </cell>
          <cell r="J144" t="str">
            <v>个性</v>
          </cell>
          <cell r="K144" t="str">
            <v>否</v>
          </cell>
        </row>
        <row r="145">
          <cell r="D145" t="str">
            <v>增加防潮石膏板平顶（双层板）</v>
          </cell>
          <cell r="E145" t="str">
            <v>平米</v>
          </cell>
          <cell r="F145">
            <v>258</v>
          </cell>
          <cell r="G145" t="str">
            <v>按展开面积计算</v>
          </cell>
          <cell r="H145" t="str">
            <v>包含打眼、吊筋、主副龙骨、双层石膏板安装、转角加固等</v>
          </cell>
          <cell r="I145" t="str">
            <v>CS1301-005</v>
          </cell>
          <cell r="J145" t="str">
            <v>个性</v>
          </cell>
          <cell r="K145" t="str">
            <v>否</v>
          </cell>
        </row>
        <row r="146">
          <cell r="D146" t="str">
            <v>增加防潮石膏板边顶（双层板）</v>
          </cell>
          <cell r="E146" t="str">
            <v>平米</v>
          </cell>
          <cell r="F146">
            <v>298</v>
          </cell>
          <cell r="G146" t="str">
            <v>按展开面积计算</v>
          </cell>
          <cell r="H146" t="str">
            <v>包含打眼、吊筋、主副龙骨、双层石膏板安装、转角加固等</v>
          </cell>
          <cell r="I146" t="str">
            <v>CS1301-006</v>
          </cell>
          <cell r="J146" t="str">
            <v>个性</v>
          </cell>
          <cell r="K146" t="str">
            <v>否</v>
          </cell>
        </row>
        <row r="147">
          <cell r="D147" t="str">
            <v>增加阳台吊顶</v>
          </cell>
          <cell r="E147" t="str">
            <v>平米</v>
          </cell>
          <cell r="F147">
            <v>318</v>
          </cell>
          <cell r="G147" t="str">
            <v>按展开面积计算</v>
          </cell>
          <cell r="H147" t="str">
            <v>包含打眼、吊筋、主副龙骨、单层阻燃板+石膏板安装、转角加固等</v>
          </cell>
          <cell r="I147" t="str">
            <v>CS1301-007</v>
          </cell>
          <cell r="J147" t="str">
            <v>个性</v>
          </cell>
          <cell r="K147" t="str">
            <v>否</v>
          </cell>
        </row>
        <row r="148">
          <cell r="D148" t="str">
            <v>阻燃板+普通石膏板吊顶（平顶）</v>
          </cell>
          <cell r="E148" t="str">
            <v>平米</v>
          </cell>
          <cell r="F148">
            <v>298</v>
          </cell>
          <cell r="G148" t="str">
            <v>按展开面积计算</v>
          </cell>
          <cell r="H148" t="str">
            <v>包含打眼、吊筋、主副龙骨、单层阻燃板+石膏板安装、转角加固等</v>
          </cell>
          <cell r="I148" t="str">
            <v>CS1301-008</v>
          </cell>
          <cell r="J148" t="str">
            <v>个性</v>
          </cell>
          <cell r="K148" t="str">
            <v>否</v>
          </cell>
        </row>
        <row r="149">
          <cell r="D149" t="str">
            <v>增加平顶</v>
          </cell>
          <cell r="E149" t="str">
            <v>平米</v>
          </cell>
          <cell r="F149">
            <v>190</v>
          </cell>
          <cell r="G149" t="str">
            <v>按展开面积计算</v>
          </cell>
          <cell r="H149" t="str">
            <v>包含打眼、吊筋、主副龙骨、单层石膏板安装、转角加固等</v>
          </cell>
          <cell r="I149" t="str">
            <v>CS1302-001</v>
          </cell>
          <cell r="J149" t="str">
            <v>√</v>
          </cell>
          <cell r="K149" t="str">
            <v>是</v>
          </cell>
        </row>
        <row r="150">
          <cell r="D150" t="str">
            <v>增加边顶</v>
          </cell>
          <cell r="E150" t="str">
            <v>平米</v>
          </cell>
          <cell r="F150">
            <v>210</v>
          </cell>
          <cell r="G150" t="str">
            <v>按展开面积计算</v>
          </cell>
          <cell r="H150" t="str">
            <v>包含打眼、吊筋、主副龙骨、单层石膏板安装、转角加固等</v>
          </cell>
          <cell r="I150" t="str">
            <v>CS1302-002</v>
          </cell>
          <cell r="J150" t="str">
            <v>√</v>
          </cell>
          <cell r="K150" t="str">
            <v>是</v>
          </cell>
        </row>
        <row r="151">
          <cell r="D151" t="str">
            <v>增加防潮石膏板平顶</v>
          </cell>
          <cell r="E151" t="str">
            <v>平米</v>
          </cell>
          <cell r="F151">
            <v>210</v>
          </cell>
          <cell r="G151" t="str">
            <v>按展开面积计算</v>
          </cell>
          <cell r="H151" t="str">
            <v>包含打眼、吊筋、主副龙骨、单层石膏板安装、转角加固等</v>
          </cell>
          <cell r="I151" t="str">
            <v>CS1302-003</v>
          </cell>
          <cell r="J151" t="str">
            <v>√</v>
          </cell>
          <cell r="K151" t="str">
            <v>是
厨卫+生活阳台</v>
          </cell>
        </row>
        <row r="152">
          <cell r="D152" t="str">
            <v>增加防潮石膏板边顶</v>
          </cell>
          <cell r="E152" t="str">
            <v>平米</v>
          </cell>
          <cell r="F152">
            <v>235</v>
          </cell>
          <cell r="G152" t="str">
            <v>按展开面积计算</v>
          </cell>
          <cell r="H152" t="str">
            <v>包含打眼、吊筋、主副龙骨、单层石膏板安装、转角加固等</v>
          </cell>
          <cell r="I152" t="str">
            <v>CS1302-004</v>
          </cell>
          <cell r="J152" t="str">
            <v>√</v>
          </cell>
          <cell r="K152" t="str">
            <v>否</v>
          </cell>
        </row>
        <row r="153">
          <cell r="D153" t="str">
            <v>增加跌级吊顶</v>
          </cell>
          <cell r="E153" t="str">
            <v>平米</v>
          </cell>
          <cell r="F153">
            <v>220</v>
          </cell>
          <cell r="G153" t="str">
            <v>按展开面积计算</v>
          </cell>
          <cell r="H153" t="str">
            <v>包含打眼、吊筋、主副龙骨、单层石膏板安装、转角加固等</v>
          </cell>
          <cell r="I153" t="str">
            <v>CS1302-005</v>
          </cell>
          <cell r="J153" t="str">
            <v>个性</v>
          </cell>
          <cell r="K153" t="str">
            <v>否</v>
          </cell>
        </row>
        <row r="154">
          <cell r="D154" t="str">
            <v>轻钢龙骨单层石膏板吊顶（边顶带灯槽）</v>
          </cell>
          <cell r="E154" t="str">
            <v>平米</v>
          </cell>
          <cell r="F154">
            <v>235</v>
          </cell>
          <cell r="G154" t="str">
            <v>按展开面积计算</v>
          </cell>
          <cell r="H154" t="str">
            <v>包含打眼、吊筋、主副龙骨、单层石膏板安装、转角加固等</v>
          </cell>
          <cell r="I154" t="str">
            <v>CS1302-006</v>
          </cell>
          <cell r="J154" t="str">
            <v>√</v>
          </cell>
          <cell r="K154" t="str">
            <v>否</v>
          </cell>
        </row>
        <row r="155">
          <cell r="D155" t="str">
            <v>定制吊顶石膏板弧形转角</v>
          </cell>
          <cell r="E155" t="str">
            <v>个</v>
          </cell>
          <cell r="F155">
            <v>180</v>
          </cell>
          <cell r="G155" t="str">
            <v>按个数计算</v>
          </cell>
          <cell r="H155" t="str">
            <v>包含石膏板倒圆角处理、转角加固等</v>
          </cell>
          <cell r="I155" t="str">
            <v>CS1302-007</v>
          </cell>
          <cell r="J155" t="str">
            <v>个性</v>
          </cell>
          <cell r="K155" t="str">
            <v>否</v>
          </cell>
        </row>
        <row r="156">
          <cell r="D156" t="str">
            <v>增加吊顶木基层（平顶）</v>
          </cell>
          <cell r="E156" t="str">
            <v>平米</v>
          </cell>
          <cell r="F156">
            <v>248</v>
          </cell>
          <cell r="G156" t="str">
            <v>按展开面积计算，适用于顶面做木饰面的情况</v>
          </cell>
          <cell r="H156" t="str">
            <v>包含打眼、吊筋、主副龙骨、单层阻燃板安装、转角加固等</v>
          </cell>
          <cell r="I156" t="str">
            <v>CS1302-008</v>
          </cell>
          <cell r="J156" t="str">
            <v>个性</v>
          </cell>
          <cell r="K156" t="str">
            <v>否</v>
          </cell>
        </row>
        <row r="157">
          <cell r="D157" t="str">
            <v>增加石膏板眉线</v>
          </cell>
          <cell r="E157" t="str">
            <v>米</v>
          </cell>
          <cell r="F157">
            <v>65</v>
          </cell>
          <cell r="G157" t="str">
            <v>按延长米计算
（宽度20mm以内，高度200mm以内，超出费用另计。高度每增加100mm增加15元/米）</v>
          </cell>
          <cell r="H157" t="str">
            <v>吊顶一圈、边顶或灯槽反边的眉线制作安装双层石膏板（吊顶单算，这个只是眉线）</v>
          </cell>
          <cell r="I157" t="str">
            <v>CS1303-001</v>
          </cell>
          <cell r="J157" t="str">
            <v>个性</v>
          </cell>
          <cell r="K157" t="str">
            <v>否</v>
          </cell>
        </row>
        <row r="158">
          <cell r="D158" t="str">
            <v>平顶上增加灯槽</v>
          </cell>
          <cell r="E158" t="str">
            <v>米</v>
          </cell>
          <cell r="F158">
            <v>95</v>
          </cell>
          <cell r="G158" t="str">
            <v>按延长米计算</v>
          </cell>
          <cell r="H158" t="str">
            <v>包含灯槽制作安装、基层加固等</v>
          </cell>
          <cell r="I158" t="str">
            <v>CS1303-002</v>
          </cell>
          <cell r="J158" t="str">
            <v>个性</v>
          </cell>
          <cell r="K158" t="str">
            <v>否</v>
          </cell>
        </row>
        <row r="159">
          <cell r="D159" t="str">
            <v>增加灯带</v>
          </cell>
          <cell r="E159" t="str">
            <v>米</v>
          </cell>
          <cell r="F159">
            <v>48</v>
          </cell>
          <cell r="G159" t="str">
            <v>按延长米计算</v>
          </cell>
          <cell r="H159" t="str">
            <v>包含灯带安装等</v>
          </cell>
          <cell r="I159" t="str">
            <v>CS1303-003</v>
          </cell>
          <cell r="J159" t="str">
            <v>个性</v>
          </cell>
          <cell r="K159" t="str">
            <v>否</v>
          </cell>
        </row>
        <row r="160">
          <cell r="D160" t="str">
            <v>增加窗帘盒</v>
          </cell>
          <cell r="E160" t="str">
            <v>米</v>
          </cell>
          <cell r="F160">
            <v>145</v>
          </cell>
          <cell r="G160" t="str">
            <v>按延长米计算</v>
          </cell>
          <cell r="H160" t="str">
            <v>包含窗帘盒制作安装、基层加固等</v>
          </cell>
          <cell r="I160" t="str">
            <v>CS1303-004</v>
          </cell>
          <cell r="J160" t="str">
            <v>个性</v>
          </cell>
          <cell r="K160" t="str">
            <v>否</v>
          </cell>
        </row>
        <row r="161">
          <cell r="D161" t="str">
            <v>增加独立窗帘盒</v>
          </cell>
          <cell r="E161" t="str">
            <v>米</v>
          </cell>
          <cell r="F161">
            <v>235</v>
          </cell>
          <cell r="G161" t="str">
            <v>按延长米计算</v>
          </cell>
          <cell r="H161" t="str">
            <v>包含窗帘盒制作安装、基层加固等</v>
          </cell>
          <cell r="I161" t="str">
            <v>CS1303-012</v>
          </cell>
          <cell r="J161" t="str">
            <v>个性</v>
          </cell>
          <cell r="K161" t="str">
            <v>否</v>
          </cell>
        </row>
        <row r="162">
          <cell r="D162" t="str">
            <v>增加圆弧形造型窗帘盒</v>
          </cell>
          <cell r="E162" t="str">
            <v>米</v>
          </cell>
          <cell r="F162">
            <v>280</v>
          </cell>
          <cell r="G162" t="str">
            <v>按延长米计算</v>
          </cell>
          <cell r="H162" t="str">
            <v>包含窗帘盒制作安装、基层加固等</v>
          </cell>
          <cell r="I162" t="str">
            <v>CS1303-013</v>
          </cell>
          <cell r="J162" t="str">
            <v>个性</v>
          </cell>
          <cell r="K162" t="str">
            <v>否</v>
          </cell>
        </row>
        <row r="163">
          <cell r="D163" t="str">
            <v>增加石膏板水缝拉槽处理</v>
          </cell>
          <cell r="E163" t="str">
            <v>米</v>
          </cell>
          <cell r="F163">
            <v>16</v>
          </cell>
          <cell r="G163" t="str">
            <v>按延长米计算</v>
          </cell>
          <cell r="H163" t="str">
            <v>包含基层拉槽处理等</v>
          </cell>
          <cell r="I163" t="str">
            <v>CS1303-014</v>
          </cell>
          <cell r="J163" t="str">
            <v>个性</v>
          </cell>
          <cell r="K163" t="str">
            <v>否</v>
          </cell>
        </row>
        <row r="164">
          <cell r="D164" t="str">
            <v>增加吊顶轨道基层加固</v>
          </cell>
          <cell r="E164" t="str">
            <v>米</v>
          </cell>
          <cell r="F164">
            <v>99</v>
          </cell>
          <cell r="G164" t="str">
            <v>按延长米计算</v>
          </cell>
          <cell r="H164" t="str">
            <v>吊顶基层阻燃板加固处理</v>
          </cell>
          <cell r="I164" t="str">
            <v>CS1303-005</v>
          </cell>
          <cell r="J164" t="str">
            <v>个性</v>
          </cell>
          <cell r="K164" t="str">
            <v>否</v>
          </cell>
        </row>
        <row r="165">
          <cell r="D165" t="str">
            <v>移门轨道基层</v>
          </cell>
          <cell r="E165" t="str">
            <v>米</v>
          </cell>
          <cell r="F165">
            <v>320</v>
          </cell>
          <cell r="G165" t="str">
            <v>按延长米计算</v>
          </cell>
          <cell r="H165" t="str">
            <v>移门轨道基层焊接方管及木工板加固处理</v>
          </cell>
          <cell r="I165" t="str">
            <v>CS1303-006</v>
          </cell>
          <cell r="J165" t="str">
            <v>√</v>
          </cell>
          <cell r="K165" t="str">
            <v>是</v>
          </cell>
        </row>
        <row r="166">
          <cell r="D166" t="str">
            <v>门套木基层</v>
          </cell>
          <cell r="E166" t="str">
            <v>米</v>
          </cell>
          <cell r="F166">
            <v>75</v>
          </cell>
          <cell r="G166" t="str">
            <v>按延长米计算</v>
          </cell>
          <cell r="H166" t="str">
            <v>门套基层制作及安装</v>
          </cell>
          <cell r="I166" t="str">
            <v>CS1303-007</v>
          </cell>
          <cell r="J166" t="str">
            <v>√</v>
          </cell>
          <cell r="K166" t="str">
            <v>否</v>
          </cell>
        </row>
        <row r="167">
          <cell r="D167" t="str">
            <v>开灯孔/新风孔</v>
          </cell>
          <cell r="E167" t="str">
            <v>个</v>
          </cell>
          <cell r="F167">
            <v>7</v>
          </cell>
          <cell r="G167" t="str">
            <v>按个数计算</v>
          </cell>
          <cell r="H167" t="str">
            <v>包含放线、定位、开孔等</v>
          </cell>
          <cell r="I167" t="str">
            <v>CS1303-008</v>
          </cell>
          <cell r="J167" t="str">
            <v>吊顶内包含</v>
          </cell>
          <cell r="K167" t="str">
            <v>是</v>
          </cell>
        </row>
        <row r="168">
          <cell r="D168" t="str">
            <v>开设备孔（空调/浴霸/暖风机）</v>
          </cell>
          <cell r="E168" t="str">
            <v>个</v>
          </cell>
          <cell r="F168">
            <v>50</v>
          </cell>
          <cell r="G168" t="str">
            <v>按个数计算
风口长度超出1米的按50元/米计算</v>
          </cell>
          <cell r="H168" t="str">
            <v>包含放线、定位、开孔及加固处理等</v>
          </cell>
          <cell r="I168" t="str">
            <v>CS1303-009</v>
          </cell>
          <cell r="J168" t="str">
            <v>√</v>
          </cell>
          <cell r="K168" t="str">
            <v>是
仅含浴霸孔</v>
          </cell>
        </row>
        <row r="169">
          <cell r="D169" t="str">
            <v>检修口</v>
          </cell>
          <cell r="E169" t="str">
            <v>个</v>
          </cell>
          <cell r="F169">
            <v>120</v>
          </cell>
          <cell r="G169" t="str">
            <v>按个数计算</v>
          </cell>
          <cell r="H169" t="str">
            <v>包含放线、定位、开孔及加固处理等</v>
          </cell>
          <cell r="I169" t="str">
            <v>CS1303-010</v>
          </cell>
          <cell r="J169" t="str">
            <v>√</v>
          </cell>
          <cell r="K169" t="str">
            <v>是
仅含新防水检修口</v>
          </cell>
        </row>
        <row r="170">
          <cell r="D170" t="str">
            <v>木基层封门头</v>
          </cell>
          <cell r="E170" t="str">
            <v>米</v>
          </cell>
          <cell r="F170">
            <v>200</v>
          </cell>
          <cell r="G170" t="str">
            <v>1米以内，按个数计算
超出1米按200元/米计算</v>
          </cell>
          <cell r="H170" t="str">
            <v>门套基层制作及安装</v>
          </cell>
          <cell r="I170" t="str">
            <v>CS1303-011</v>
          </cell>
          <cell r="J170" t="str">
            <v>√</v>
          </cell>
          <cell r="K170" t="str">
            <v>否</v>
          </cell>
        </row>
        <row r="171">
          <cell r="D171" t="str">
            <v>轻钢龙骨隔墙（单面双层石膏板）</v>
          </cell>
          <cell r="E171" t="str">
            <v>平米</v>
          </cell>
          <cell r="F171">
            <v>245</v>
          </cell>
          <cell r="G171" t="str">
            <v>按施工面积计算</v>
          </cell>
          <cell r="H171" t="str">
            <v>包含天地龙骨、竖向龙骨、穿心龙骨安装、调直、加固，填隔音棉、单面封双层石膏板</v>
          </cell>
          <cell r="I171" t="str">
            <v>CS1304-001</v>
          </cell>
          <cell r="J171" t="str">
            <v>个性</v>
          </cell>
          <cell r="K171" t="str">
            <v>否</v>
          </cell>
        </row>
        <row r="172">
          <cell r="D172" t="str">
            <v>轻钢龙骨隔墙（双面双层石膏板）</v>
          </cell>
          <cell r="E172" t="str">
            <v>平米</v>
          </cell>
          <cell r="F172">
            <v>325</v>
          </cell>
          <cell r="G172" t="str">
            <v>按施工面积计算</v>
          </cell>
          <cell r="H172" t="str">
            <v>包含天地龙骨、竖向龙骨、穿心龙骨安装、调直、加固，填隔音棉、双面封双层石膏板</v>
          </cell>
          <cell r="I172" t="str">
            <v>CS1304-002</v>
          </cell>
          <cell r="J172" t="str">
            <v>个性</v>
          </cell>
          <cell r="K172" t="str">
            <v>否</v>
          </cell>
        </row>
        <row r="173">
          <cell r="D173" t="str">
            <v>钢架隔墙（双排钢架-暗藏式门基层含封板）</v>
          </cell>
          <cell r="E173" t="str">
            <v>平米</v>
          </cell>
          <cell r="F173">
            <v>780</v>
          </cell>
          <cell r="G173" t="str">
            <v>按施工面积计算</v>
          </cell>
          <cell r="H173" t="str">
            <v>双排钢架隔墙及双面封基层板施工</v>
          </cell>
          <cell r="I173" t="str">
            <v>CS1304-003</v>
          </cell>
          <cell r="J173" t="str">
            <v>√</v>
          </cell>
          <cell r="K173" t="str">
            <v>否</v>
          </cell>
        </row>
        <row r="174">
          <cell r="D174" t="str">
            <v>钢架隔墙（单排钢架含封板）</v>
          </cell>
          <cell r="E174" t="str">
            <v>平米</v>
          </cell>
          <cell r="F174">
            <v>560</v>
          </cell>
          <cell r="G174" t="str">
            <v>按施工面积计算</v>
          </cell>
          <cell r="H174" t="str">
            <v>单排钢架隔墙及双面封基层板施工</v>
          </cell>
          <cell r="I174" t="str">
            <v>CS1304-004</v>
          </cell>
          <cell r="J174" t="str">
            <v>个性</v>
          </cell>
          <cell r="K174" t="str">
            <v>否</v>
          </cell>
        </row>
        <row r="175">
          <cell r="D175" t="str">
            <v>轻钢龙骨弧形墙造型（单面封双层石膏板）</v>
          </cell>
          <cell r="E175" t="str">
            <v>平米</v>
          </cell>
          <cell r="F175">
            <v>335</v>
          </cell>
          <cell r="G175" t="str">
            <v>按施工面积计算</v>
          </cell>
        </row>
        <row r="175">
          <cell r="I175" t="str">
            <v>CS1304-005</v>
          </cell>
          <cell r="J175" t="str">
            <v>个性</v>
          </cell>
          <cell r="K175" t="str">
            <v>否</v>
          </cell>
        </row>
        <row r="176">
          <cell r="D176" t="str">
            <v>轻钢龙骨弧形墙造型（双面双层石膏板）</v>
          </cell>
          <cell r="E176" t="str">
            <v>平米</v>
          </cell>
          <cell r="F176">
            <v>435</v>
          </cell>
          <cell r="G176" t="str">
            <v>按施工面积计算</v>
          </cell>
        </row>
        <row r="176">
          <cell r="I176" t="str">
            <v>CS1304-006</v>
          </cell>
          <cell r="J176" t="str">
            <v>个性</v>
          </cell>
          <cell r="K176" t="str">
            <v>否</v>
          </cell>
        </row>
        <row r="177">
          <cell r="D177" t="str">
            <v>轻钢龙骨弧形墙造型（单面封一层木工板+一层石膏板）</v>
          </cell>
          <cell r="E177" t="str">
            <v>平米</v>
          </cell>
          <cell r="F177">
            <v>385</v>
          </cell>
          <cell r="G177" t="str">
            <v>按施工面积计算</v>
          </cell>
          <cell r="H177" t="str">
            <v>包含天地龙骨、竖向龙骨、穿心龙骨安装、调直、加固，填隔音棉、单面封一层木工板+一层石膏板基层</v>
          </cell>
          <cell r="I177" t="str">
            <v>CS1304-007</v>
          </cell>
          <cell r="J177" t="str">
            <v>个性</v>
          </cell>
          <cell r="K177" t="str">
            <v>否</v>
          </cell>
        </row>
        <row r="178">
          <cell r="D178" t="str">
            <v>轻钢龙骨弧形墙造型（双面封一层木工板+一层石膏板）</v>
          </cell>
          <cell r="E178" t="str">
            <v>平米</v>
          </cell>
          <cell r="F178">
            <v>560</v>
          </cell>
          <cell r="G178" t="str">
            <v>按施工面积计算</v>
          </cell>
          <cell r="H178" t="str">
            <v>包含天地龙骨、竖向龙骨、穿心龙骨安装、调直、加固，填隔音棉、双面封一层木工板+一层石膏板基层</v>
          </cell>
          <cell r="I178" t="str">
            <v>CS1304-008</v>
          </cell>
          <cell r="J178" t="str">
            <v>个性</v>
          </cell>
          <cell r="K178" t="str">
            <v>否</v>
          </cell>
        </row>
        <row r="179">
          <cell r="D179" t="str">
            <v>弧形门洞</v>
          </cell>
          <cell r="E179" t="str">
            <v>个</v>
          </cell>
          <cell r="F179">
            <v>300</v>
          </cell>
          <cell r="G179" t="str">
            <v>按个数计算</v>
          </cell>
          <cell r="H179" t="str">
            <v>包含基层加固，封石膏板</v>
          </cell>
          <cell r="I179" t="str">
            <v>CS1304-009</v>
          </cell>
          <cell r="J179" t="str">
            <v>个性</v>
          </cell>
          <cell r="K179" t="str">
            <v>否</v>
          </cell>
        </row>
        <row r="180">
          <cell r="D180" t="str">
            <v>木基层包单管</v>
          </cell>
          <cell r="E180" t="str">
            <v>根</v>
          </cell>
          <cell r="F180">
            <v>280</v>
          </cell>
          <cell r="G180" t="str">
            <v>按根数计算
（3米以内，超出3米费用另计）</v>
          </cell>
          <cell r="H180" t="str">
            <v>包含木龙骨打基础、封15mm欧松板和水泥压力板施工</v>
          </cell>
          <cell r="I180" t="str">
            <v>CS1304-010</v>
          </cell>
          <cell r="J180" t="str">
            <v>个性</v>
          </cell>
          <cell r="K180" t="str">
            <v>否</v>
          </cell>
        </row>
        <row r="181">
          <cell r="D181" t="str">
            <v>木基层包双管</v>
          </cell>
          <cell r="E181" t="str">
            <v>根</v>
          </cell>
          <cell r="F181">
            <v>360</v>
          </cell>
          <cell r="G181" t="str">
            <v>按根数计算
（3米以内，超出3米费用另计）</v>
          </cell>
          <cell r="H181" t="str">
            <v>包含木龙骨打基础、封15mm欧松板和水泥压力板施工</v>
          </cell>
          <cell r="I181" t="str">
            <v>CS1304-011</v>
          </cell>
          <cell r="J181" t="str">
            <v>个性</v>
          </cell>
          <cell r="K181" t="str">
            <v>否</v>
          </cell>
        </row>
        <row r="182">
          <cell r="D182" t="str">
            <v>木基层包三管</v>
          </cell>
          <cell r="E182" t="str">
            <v>根</v>
          </cell>
          <cell r="F182">
            <v>520</v>
          </cell>
          <cell r="G182" t="str">
            <v>按根数计算
（3米以内，超出3米费用另计）</v>
          </cell>
          <cell r="H182" t="str">
            <v>包含木龙骨打基础、封15mm欧松板和水泥压力板施工</v>
          </cell>
          <cell r="I182" t="str">
            <v>CS1304-012</v>
          </cell>
          <cell r="J182" t="str">
            <v>个性</v>
          </cell>
          <cell r="K182" t="str">
            <v>否</v>
          </cell>
        </row>
        <row r="183">
          <cell r="D183" t="str">
            <v>木工板基层（单层）</v>
          </cell>
          <cell r="E183" t="str">
            <v>平米</v>
          </cell>
          <cell r="F183">
            <v>175</v>
          </cell>
          <cell r="G183" t="str">
            <v>按施工面积计算</v>
          </cell>
          <cell r="H183" t="str">
            <v>在找平的墙面直接封木工板或阻燃板基层，不含龙骨基层等</v>
          </cell>
          <cell r="I183" t="str">
            <v>CS1305-001</v>
          </cell>
          <cell r="J183" t="str">
            <v>个性</v>
          </cell>
          <cell r="K183" t="str">
            <v>否</v>
          </cell>
        </row>
        <row r="184">
          <cell r="D184" t="str">
            <v>木楔子木基层</v>
          </cell>
          <cell r="E184" t="str">
            <v>平米</v>
          </cell>
          <cell r="F184">
            <v>205</v>
          </cell>
          <cell r="G184" t="str">
            <v>按施工面积计算</v>
          </cell>
          <cell r="H184" t="str">
            <v>包含木楔子调平，封木工板或阻燃板基层</v>
          </cell>
          <cell r="I184" t="str">
            <v>CS1305-002</v>
          </cell>
          <cell r="J184" t="str">
            <v>个性</v>
          </cell>
          <cell r="K184" t="str">
            <v>否</v>
          </cell>
        </row>
        <row r="185">
          <cell r="D185" t="str">
            <v>单排木龙骨木基层</v>
          </cell>
          <cell r="E185" t="str">
            <v>平米</v>
          </cell>
          <cell r="F185">
            <v>235</v>
          </cell>
          <cell r="G185" t="str">
            <v>按施工面积计算</v>
          </cell>
          <cell r="H185" t="str">
            <v>包含龙骨基层，封木工板或阻燃板基层</v>
          </cell>
          <cell r="I185" t="str">
            <v>CS1305-003</v>
          </cell>
          <cell r="J185" t="str">
            <v>个性</v>
          </cell>
          <cell r="K185" t="str">
            <v>否</v>
          </cell>
        </row>
        <row r="186">
          <cell r="D186" t="str">
            <v>双排木龙骨木基层</v>
          </cell>
          <cell r="E186" t="str">
            <v>平米</v>
          </cell>
          <cell r="F186">
            <v>285</v>
          </cell>
          <cell r="G186" t="str">
            <v>按施工面积计算</v>
          </cell>
          <cell r="H186" t="str">
            <v>包含龙骨基层，封木工板或阻燃板基层</v>
          </cell>
          <cell r="I186" t="str">
            <v>CS1305-004</v>
          </cell>
          <cell r="J186" t="str">
            <v>个性</v>
          </cell>
          <cell r="K186" t="str">
            <v>否</v>
          </cell>
        </row>
        <row r="187">
          <cell r="D187" t="str">
            <v>单排钢架木基层</v>
          </cell>
          <cell r="E187" t="str">
            <v>平米</v>
          </cell>
          <cell r="F187">
            <v>560</v>
          </cell>
          <cell r="G187" t="str">
            <v>按施工面积计算</v>
          </cell>
          <cell r="H187" t="str">
            <v>包含钢架基层，封木工板或阻燃板基层</v>
          </cell>
          <cell r="I187" t="str">
            <v>CS1305-005</v>
          </cell>
          <cell r="J187" t="str">
            <v>个性</v>
          </cell>
          <cell r="K187" t="str">
            <v>否</v>
          </cell>
        </row>
        <row r="188">
          <cell r="D188" t="str">
            <v>双排钢架木基层</v>
          </cell>
          <cell r="E188" t="str">
            <v>平米</v>
          </cell>
          <cell r="F188">
            <v>780</v>
          </cell>
          <cell r="G188" t="str">
            <v>按施工面积计算</v>
          </cell>
          <cell r="H188" t="str">
            <v>包含钢架基层，封木工板或阻燃板基层</v>
          </cell>
          <cell r="I188" t="str">
            <v>CS1305-006</v>
          </cell>
          <cell r="J188" t="str">
            <v>个性</v>
          </cell>
          <cell r="K188" t="str">
            <v>否</v>
          </cell>
        </row>
        <row r="189">
          <cell r="D189" t="str">
            <v>单层石膏板基层</v>
          </cell>
          <cell r="E189" t="str">
            <v>平米</v>
          </cell>
          <cell r="F189">
            <v>68</v>
          </cell>
          <cell r="G189" t="str">
            <v>按施工面积计算</v>
          </cell>
          <cell r="H189" t="str">
            <v>包含石膏板基层施工</v>
          </cell>
          <cell r="I189" t="str">
            <v>CS1305-007</v>
          </cell>
          <cell r="J189" t="str">
            <v>个性</v>
          </cell>
          <cell r="K189" t="str">
            <v>否</v>
          </cell>
        </row>
        <row r="190">
          <cell r="D190" t="str">
            <v>木龙骨石膏板基层（单层)</v>
          </cell>
          <cell r="E190" t="str">
            <v>平米</v>
          </cell>
          <cell r="F190">
            <v>145</v>
          </cell>
          <cell r="G190" t="str">
            <v>按施工面积计算</v>
          </cell>
          <cell r="H190" t="str">
            <v>包含龙骨调平，封石膏板基层</v>
          </cell>
          <cell r="I190" t="str">
            <v>CS1305-008</v>
          </cell>
          <cell r="J190" t="str">
            <v>个性</v>
          </cell>
          <cell r="K190" t="str">
            <v>否</v>
          </cell>
        </row>
        <row r="191">
          <cell r="D191" t="str">
            <v>木龙骨+木工板地台基层</v>
          </cell>
          <cell r="E191" t="str">
            <v>平米</v>
          </cell>
          <cell r="F191">
            <v>265</v>
          </cell>
          <cell r="G191" t="str">
            <v>按施工面积计算，地台立面展开</v>
          </cell>
          <cell r="H191" t="str">
            <v>30mm*40mmm木龙骨，间距300+15mm欧松板</v>
          </cell>
          <cell r="I191" t="str">
            <v>CS1306-001</v>
          </cell>
          <cell r="J191" t="str">
            <v>个性</v>
          </cell>
          <cell r="K191" t="str">
            <v>否</v>
          </cell>
        </row>
        <row r="192">
          <cell r="D192" t="str">
            <v>铝板隔热层（3mm厚铝板）</v>
          </cell>
          <cell r="E192" t="str">
            <v>平米</v>
          </cell>
          <cell r="F192">
            <v>180</v>
          </cell>
          <cell r="G192" t="str">
            <v>按施工面积计算</v>
          </cell>
          <cell r="H192" t="str">
            <v>3mm铝热板隔热层</v>
          </cell>
          <cell r="I192" t="str">
            <v>CS1307-001</v>
          </cell>
          <cell r="J192" t="str">
            <v>个性</v>
          </cell>
          <cell r="K192" t="str">
            <v>否</v>
          </cell>
        </row>
        <row r="193">
          <cell r="D193" t="str">
            <v>嵌入式踢脚线木基层（开槽）</v>
          </cell>
          <cell r="E193" t="str">
            <v>米</v>
          </cell>
          <cell r="F193">
            <v>75</v>
          </cell>
          <cell r="G193" t="str">
            <v>按延长米计算</v>
          </cell>
          <cell r="H193" t="str">
            <v>包含墙面开槽、木基层封板调平</v>
          </cell>
          <cell r="I193" t="str">
            <v>CS1308-001</v>
          </cell>
          <cell r="J193" t="str">
            <v>个性</v>
          </cell>
          <cell r="K193" t="str">
            <v>否</v>
          </cell>
        </row>
        <row r="194">
          <cell r="D194" t="str">
            <v>嵌入式踢脚线木基层（不开槽）</v>
          </cell>
          <cell r="E194" t="str">
            <v>米</v>
          </cell>
          <cell r="F194">
            <v>48</v>
          </cell>
          <cell r="G194" t="str">
            <v>按延长米计算</v>
          </cell>
          <cell r="H194" t="str">
            <v>包含木基层封板调平</v>
          </cell>
          <cell r="I194" t="str">
            <v>CS1308-002</v>
          </cell>
          <cell r="J194" t="str">
            <v>个性</v>
          </cell>
          <cell r="K194" t="str">
            <v>否</v>
          </cell>
        </row>
        <row r="196">
          <cell r="D196" t="str">
            <v>水泥河沙贴地砖（600*1200砖）</v>
          </cell>
          <cell r="E196" t="str">
            <v>平米</v>
          </cell>
          <cell r="F196">
            <v>140</v>
          </cell>
          <cell r="G196" t="str">
            <v>按施工面积计算</v>
          </cell>
          <cell r="H196" t="str">
            <v>水泥砂浆贴砖，含瓷砖加工、缝隙清理、瓷砖面清理、勾缝、地面贴保护膜等</v>
          </cell>
          <cell r="I196" t="str">
            <v>CS1401-001</v>
          </cell>
          <cell r="J196" t="str">
            <v>√</v>
          </cell>
          <cell r="K196" t="str">
            <v>是</v>
          </cell>
        </row>
        <row r="197">
          <cell r="D197" t="str">
            <v>水泥河沙贴地砖（单边≤800mm）</v>
          </cell>
          <cell r="E197" t="str">
            <v>平米</v>
          </cell>
          <cell r="F197">
            <v>130</v>
          </cell>
          <cell r="G197" t="str">
            <v>按施工面积计算</v>
          </cell>
          <cell r="H197" t="str">
            <v>水泥砂浆贴砖，含墙砖背胶处理、瓷砖加工、缝隙清理、瓷砖面清理、勾缝、阳角保护等</v>
          </cell>
          <cell r="I197" t="str">
            <v>CS1401-002</v>
          </cell>
          <cell r="J197" t="str">
            <v>√</v>
          </cell>
          <cell r="K197" t="str">
            <v>是</v>
          </cell>
        </row>
        <row r="198">
          <cell r="D198" t="str">
            <v>水泥河沙贴墙砖（600*1200砖）</v>
          </cell>
          <cell r="E198" t="str">
            <v>平米</v>
          </cell>
          <cell r="F198">
            <v>140</v>
          </cell>
          <cell r="G198" t="str">
            <v>按施工面积计算</v>
          </cell>
          <cell r="H198" t="str">
            <v>水泥砂浆贴砖，含瓷砖加工、缝隙清理、瓷砖面清理、勾缝、地面贴保护膜等</v>
          </cell>
          <cell r="I198" t="str">
            <v>CS1401-003</v>
          </cell>
          <cell r="J198" t="str">
            <v>√</v>
          </cell>
          <cell r="K198" t="str">
            <v>是</v>
          </cell>
        </row>
        <row r="199">
          <cell r="D199" t="str">
            <v>水泥河沙贴墙砖（单边≤800mm）</v>
          </cell>
          <cell r="E199" t="str">
            <v>平米</v>
          </cell>
          <cell r="F199">
            <v>130</v>
          </cell>
          <cell r="G199" t="str">
            <v>按施工面积计算</v>
          </cell>
          <cell r="H199" t="str">
            <v>水泥砂浆贴砖，含墙砖背胶处理、瓷砖加工、缝隙清理、瓷砖面清理、勾缝、阳角保护等</v>
          </cell>
          <cell r="I199" t="str">
            <v>CS1401-004</v>
          </cell>
          <cell r="J199" t="str">
            <v>√</v>
          </cell>
          <cell r="K199" t="str">
            <v>是</v>
          </cell>
        </row>
        <row r="200">
          <cell r="D200" t="str">
            <v>水泥河沙贴砖（200mm以内小砖）</v>
          </cell>
          <cell r="E200" t="str">
            <v>平米</v>
          </cell>
          <cell r="F200">
            <v>230</v>
          </cell>
          <cell r="G200" t="str">
            <v>按施工面积计算</v>
          </cell>
          <cell r="H200" t="str">
            <v>水泥砂浆贴砖，含墙砖背胶处理、瓷砖加工、缝隙清理、瓷砖面清理、勾缝、地面贴保护膜、墙面阳角保护等</v>
          </cell>
          <cell r="I200" t="str">
            <v>CS1401-005</v>
          </cell>
          <cell r="J200" t="str">
            <v>√</v>
          </cell>
          <cell r="K200" t="str">
            <v>是</v>
          </cell>
        </row>
        <row r="201">
          <cell r="D201" t="str">
            <v>意大利薄贴地砖（600*1200砖）</v>
          </cell>
          <cell r="E201" t="str">
            <v>平米</v>
          </cell>
          <cell r="F201">
            <v>140</v>
          </cell>
          <cell r="G201" t="str">
            <v>按施工面积计算</v>
          </cell>
          <cell r="H201" t="str">
            <v>瓷砖胶薄贴法施工，含瓷砖加工、缝隙清理、瓷砖面清理、勾缝、地面贴保护膜等</v>
          </cell>
          <cell r="I201" t="str">
            <v>CS1402-001</v>
          </cell>
          <cell r="J201" t="str">
            <v>个性</v>
          </cell>
          <cell r="K201" t="str">
            <v>否</v>
          </cell>
        </row>
        <row r="202">
          <cell r="D202" t="str">
            <v>意大利薄贴地砖（单边≤800mm）</v>
          </cell>
          <cell r="E202" t="str">
            <v>平米</v>
          </cell>
          <cell r="F202">
            <v>130</v>
          </cell>
          <cell r="G202" t="str">
            <v>按施工面积计算</v>
          </cell>
          <cell r="H202" t="str">
            <v>瓷砖胶薄贴法施工，含瓷砖加工、缝隙清理、瓷砖面清理、勾缝、地面贴保护膜等</v>
          </cell>
          <cell r="I202" t="str">
            <v>CS1402-002</v>
          </cell>
          <cell r="J202" t="str">
            <v>个性</v>
          </cell>
          <cell r="K202" t="str">
            <v>否</v>
          </cell>
        </row>
        <row r="203">
          <cell r="D203" t="str">
            <v>意大利薄贴墙砖（600*1200砖）</v>
          </cell>
          <cell r="E203" t="str">
            <v>平米</v>
          </cell>
          <cell r="F203">
            <v>168</v>
          </cell>
          <cell r="G203" t="str">
            <v>按施工面积计算</v>
          </cell>
          <cell r="H203" t="str">
            <v>瓷砖胶薄贴法施工，含瓷砖加工、缝隙清理、瓷砖面清理、勾缝、阳角保护等</v>
          </cell>
          <cell r="I203" t="str">
            <v>CS1402-003</v>
          </cell>
        </row>
        <row r="203">
          <cell r="K203" t="str">
            <v>否</v>
          </cell>
        </row>
        <row r="204">
          <cell r="D204" t="str">
            <v>意大利薄贴墙砖（单边≤800mm）</v>
          </cell>
          <cell r="E204" t="str">
            <v>平米</v>
          </cell>
          <cell r="F204">
            <v>130</v>
          </cell>
          <cell r="G204" t="str">
            <v>按施工面积计算</v>
          </cell>
          <cell r="H204" t="str">
            <v>瓷砖胶薄贴法施工，含瓷砖加工、缝隙清理、瓷砖面清理、勾缝、阳角保护等</v>
          </cell>
          <cell r="I204" t="str">
            <v>CS1402-004</v>
          </cell>
        </row>
        <row r="204">
          <cell r="K204" t="str">
            <v>否</v>
          </cell>
        </row>
        <row r="205">
          <cell r="D205" t="str">
            <v>意大利薄贴（200mm以内小砖）</v>
          </cell>
          <cell r="E205" t="str">
            <v>平米</v>
          </cell>
          <cell r="F205">
            <v>230</v>
          </cell>
          <cell r="G205" t="str">
            <v>按施工面积计算</v>
          </cell>
          <cell r="H205" t="str">
            <v>瓷砖胶薄贴法施工，含瓷砖加工、缝隙清理、瓷砖面清理、勾缝、地面贴保护膜、墙面阳角保护等</v>
          </cell>
          <cell r="I205" t="str">
            <v>CS1402-005</v>
          </cell>
          <cell r="J205" t="str">
            <v>个性</v>
          </cell>
          <cell r="K205" t="str">
            <v>否</v>
          </cell>
        </row>
        <row r="206">
          <cell r="D206" t="str">
            <v>意大利薄贴地砖（750*1500、800*1600)</v>
          </cell>
          <cell r="E206" t="str">
            <v>平米</v>
          </cell>
          <cell r="F206">
            <v>245</v>
          </cell>
          <cell r="G206" t="str">
            <v>按施工面积计算</v>
          </cell>
          <cell r="H206" t="str">
            <v>瓷砖胶薄贴法施工，含瓷砖加工、缝隙清理、瓷砖面清理、勾缝、地面贴保护膜等</v>
          </cell>
          <cell r="I206" t="str">
            <v>CS1402-006</v>
          </cell>
          <cell r="J206" t="str">
            <v>个性</v>
          </cell>
          <cell r="K206" t="str">
            <v>否</v>
          </cell>
        </row>
        <row r="207">
          <cell r="D207" t="str">
            <v>意大利薄贴墙砖（750*1500、800*1600)</v>
          </cell>
          <cell r="E207" t="str">
            <v>平米</v>
          </cell>
          <cell r="F207">
            <v>265</v>
          </cell>
          <cell r="G207" t="str">
            <v>按施工面积计算</v>
          </cell>
          <cell r="H207" t="str">
            <v>瓷砖胶薄贴法施工，含瓷砖加工、缝隙清理、瓷砖面清理、勾缝、阳角保护等</v>
          </cell>
          <cell r="I207" t="str">
            <v>CS1402-007</v>
          </cell>
        </row>
        <row r="207">
          <cell r="K207" t="str">
            <v>否</v>
          </cell>
        </row>
        <row r="208">
          <cell r="D208" t="str">
            <v>意大利薄贴地砖（900*1800）</v>
          </cell>
          <cell r="E208" t="str">
            <v>平米</v>
          </cell>
          <cell r="F208">
            <v>320</v>
          </cell>
          <cell r="G208" t="str">
            <v>按施工面积计算</v>
          </cell>
          <cell r="H208" t="str">
            <v>瓷砖胶薄贴法施工，含瓷砖加工、缝隙清理、瓷砖面清理、勾缝、地面贴保护膜等</v>
          </cell>
          <cell r="I208" t="str">
            <v>CS1402-008</v>
          </cell>
          <cell r="J208" t="str">
            <v>个性</v>
          </cell>
          <cell r="K208" t="str">
            <v>否</v>
          </cell>
        </row>
        <row r="209">
          <cell r="D209" t="str">
            <v>意大利薄贴墙砖（900*1800）</v>
          </cell>
          <cell r="E209" t="str">
            <v>平米</v>
          </cell>
          <cell r="F209">
            <v>345</v>
          </cell>
          <cell r="G209" t="str">
            <v>按施工面积计算</v>
          </cell>
          <cell r="H209" t="str">
            <v>瓷砖胶薄贴法施工，含瓷砖加工、缝隙清理、瓷砖面清理、勾缝、阳角保护等</v>
          </cell>
          <cell r="I209" t="str">
            <v>CS1402-009</v>
          </cell>
        </row>
        <row r="209">
          <cell r="K209" t="str">
            <v>否</v>
          </cell>
        </row>
        <row r="210">
          <cell r="D210" t="str">
            <v>意大利薄贴地砖（1200*2400）</v>
          </cell>
          <cell r="E210" t="str">
            <v>平米</v>
          </cell>
          <cell r="F210">
            <v>368</v>
          </cell>
          <cell r="G210" t="str">
            <v>按施工面积计算</v>
          </cell>
          <cell r="H210" t="str">
            <v>瓷砖胶薄贴法施工，含瓷砖加工、缝隙清理、瓷砖面清理、勾缝、地面贴保护膜等</v>
          </cell>
          <cell r="I210" t="str">
            <v>CS1402-010</v>
          </cell>
        </row>
        <row r="210">
          <cell r="K210" t="str">
            <v>否</v>
          </cell>
        </row>
        <row r="211">
          <cell r="D211" t="str">
            <v>意大利薄贴墙砖（1200*2400）</v>
          </cell>
          <cell r="E211" t="str">
            <v>平米</v>
          </cell>
          <cell r="F211">
            <v>399</v>
          </cell>
          <cell r="G211" t="str">
            <v>按施工面积计算</v>
          </cell>
          <cell r="H211" t="str">
            <v>瓷砖胶薄贴法施工，含瓷砖加工、缝隙清理、瓷砖面清理、勾缝、阳角保护等</v>
          </cell>
          <cell r="I211" t="str">
            <v>CS1402-011</v>
          </cell>
        </row>
        <row r="211">
          <cell r="K211" t="str">
            <v>否</v>
          </cell>
        </row>
        <row r="212">
          <cell r="D212" t="str">
            <v>瓷砖胶工艺墙</v>
          </cell>
          <cell r="E212" t="str">
            <v>平米</v>
          </cell>
          <cell r="F212">
            <v>99</v>
          </cell>
          <cell r="G212" t="str">
            <v>按施工面积计算</v>
          </cell>
          <cell r="H212" t="str">
            <v>瓷砖胶工艺展示墙施工</v>
          </cell>
          <cell r="I212" t="str">
            <v>CS1403-001</v>
          </cell>
          <cell r="J212" t="str">
            <v>个性</v>
          </cell>
          <cell r="K212" t="str">
            <v>否</v>
          </cell>
        </row>
        <row r="213">
          <cell r="D213" t="str">
            <v>人字拼/鱼骨拼</v>
          </cell>
          <cell r="E213" t="str">
            <v>平米</v>
          </cell>
          <cell r="F213">
            <v>230</v>
          </cell>
          <cell r="G213" t="str">
            <v>按施工面积计算</v>
          </cell>
          <cell r="H213" t="str">
            <v>瓷砖胶薄贴法施工，人字拼/工字拼/鱼骨拼等特殊拼法施工</v>
          </cell>
          <cell r="I213" t="str">
            <v>CS1403-002</v>
          </cell>
          <cell r="J213" t="str">
            <v>个性</v>
          </cell>
          <cell r="K213" t="str">
            <v>否</v>
          </cell>
        </row>
        <row r="214">
          <cell r="D214" t="str">
            <v>弧形区域地砖施工</v>
          </cell>
          <cell r="E214" t="str">
            <v>米</v>
          </cell>
          <cell r="F214" t="str">
            <v>+25</v>
          </cell>
          <cell r="G214" t="str">
            <v>按延长米计算</v>
          </cell>
          <cell r="H214" t="str">
            <v>瓷砖异型加工及安装</v>
          </cell>
          <cell r="I214" t="str">
            <v>CS1403-003</v>
          </cell>
          <cell r="J214" t="str">
            <v>个性</v>
          </cell>
          <cell r="K214" t="str">
            <v>否</v>
          </cell>
        </row>
        <row r="215">
          <cell r="D215" t="str">
            <v>弧形区域瓷砖翻边</v>
          </cell>
          <cell r="E215" t="str">
            <v>米</v>
          </cell>
          <cell r="F215" t="str">
            <v>+25</v>
          </cell>
          <cell r="G215" t="str">
            <v>按延长米计算</v>
          </cell>
          <cell r="H215" t="str">
            <v>瓷砖异型加工及安装</v>
          </cell>
          <cell r="I215" t="str">
            <v>CS1403-004</v>
          </cell>
          <cell r="J215" t="str">
            <v>个性</v>
          </cell>
          <cell r="K215" t="str">
            <v>否</v>
          </cell>
        </row>
        <row r="216">
          <cell r="D216" t="str">
            <v>弧形区域石材翻边</v>
          </cell>
          <cell r="E216" t="str">
            <v>米</v>
          </cell>
          <cell r="F216" t="str">
            <v>+45</v>
          </cell>
          <cell r="G216" t="str">
            <v>按延长米计算,200mm宽以内
含面材+100元/米，最低收费300元/户</v>
          </cell>
          <cell r="H216" t="str">
            <v>石材异型加工及安装</v>
          </cell>
          <cell r="I216" t="str">
            <v>CS1403-005</v>
          </cell>
          <cell r="J216" t="str">
            <v>个性</v>
          </cell>
          <cell r="K216" t="str">
            <v>否</v>
          </cell>
        </row>
        <row r="217">
          <cell r="D217" t="str">
            <v>瓷砖波打线</v>
          </cell>
          <cell r="E217" t="str">
            <v>米</v>
          </cell>
          <cell r="F217" t="str">
            <v>+35</v>
          </cell>
          <cell r="G217" t="str">
            <v>按延长米计算,200mm宽以内
含面材+100元/米，最低收费300元/户</v>
          </cell>
          <cell r="H217" t="str">
            <v>瓷砖异型加工及安装</v>
          </cell>
          <cell r="I217" t="str">
            <v>CS1403-006</v>
          </cell>
          <cell r="J217" t="str">
            <v>个性</v>
          </cell>
          <cell r="K217" t="str">
            <v>否</v>
          </cell>
        </row>
        <row r="218">
          <cell r="D218" t="str">
            <v>瓷砖踢脚线（成品踢脚线）</v>
          </cell>
          <cell r="E218" t="str">
            <v>米</v>
          </cell>
          <cell r="F218">
            <v>30</v>
          </cell>
          <cell r="G218" t="str">
            <v>按延长米计算</v>
          </cell>
          <cell r="H218" t="str">
            <v>贴瓷砖踢脚线(不含现场切割加工)</v>
          </cell>
          <cell r="I218" t="str">
            <v>CS1404-001</v>
          </cell>
          <cell r="J218" t="str">
            <v>√</v>
          </cell>
          <cell r="K218" t="str">
            <v>是</v>
          </cell>
        </row>
        <row r="219">
          <cell r="D219" t="str">
            <v>瓷砖踢脚线（非成品类）</v>
          </cell>
          <cell r="E219" t="str">
            <v>米</v>
          </cell>
          <cell r="F219">
            <v>40</v>
          </cell>
          <cell r="G219" t="str">
            <v>按延长米计算</v>
          </cell>
          <cell r="H219" t="str">
            <v>贴瓷砖踢脚线(含瓷砖现场切割加工)</v>
          </cell>
          <cell r="I219" t="str">
            <v>CS1404-002</v>
          </cell>
          <cell r="J219" t="str">
            <v>个性</v>
          </cell>
          <cell r="K219" t="str">
            <v>否</v>
          </cell>
        </row>
        <row r="220">
          <cell r="D220" t="str">
            <v>暗藏式瓷砖踢脚线</v>
          </cell>
          <cell r="E220" t="str">
            <v>米</v>
          </cell>
          <cell r="F220">
            <v>58</v>
          </cell>
          <cell r="G220" t="str">
            <v>按延长米计算</v>
          </cell>
          <cell r="H220" t="str">
            <v>包含墙面开槽处理，成品瓷砖踢脚线安装</v>
          </cell>
          <cell r="I220" t="str">
            <v>CS1404-003</v>
          </cell>
          <cell r="J220" t="str">
            <v>个性</v>
          </cell>
          <cell r="K220" t="str">
            <v>否</v>
          </cell>
        </row>
        <row r="221">
          <cell r="D221" t="str">
            <v>壁龛（300*300以内）</v>
          </cell>
          <cell r="E221" t="str">
            <v>格</v>
          </cell>
          <cell r="F221">
            <v>450</v>
          </cell>
          <cell r="G221" t="str">
            <v>按壁龛格数计算，超出300mm*300mm以外的部分按198元/10cm计算</v>
          </cell>
          <cell r="H221" t="str">
            <v>墙面防水、瓷砖胶薄贴法施工，含瓷砖加工、缝隙清理、瓷砖面清理、阳角保护等</v>
          </cell>
          <cell r="I221" t="str">
            <v>CS1402-007</v>
          </cell>
          <cell r="J221" t="str">
            <v>√</v>
          </cell>
          <cell r="K221" t="str">
            <v>否</v>
          </cell>
        </row>
        <row r="222">
          <cell r="D222" t="str">
            <v>壁龛（300*300以内）-新防水</v>
          </cell>
          <cell r="E222" t="str">
            <v>格</v>
          </cell>
          <cell r="F222">
            <v>996</v>
          </cell>
          <cell r="G222" t="str">
            <v>按壁龛格数计算，超出300mm*300mm以外的部分按338元/10cm计算</v>
          </cell>
          <cell r="H222" t="str">
            <v>墙面新防水、瓷砖胶薄贴法施工，含瓷砖加工、缝隙清理、瓷砖面清理、阳角保护等</v>
          </cell>
          <cell r="I222" t="str">
            <v>CS1402-008</v>
          </cell>
          <cell r="J222" t="str">
            <v>个性</v>
          </cell>
          <cell r="K222" t="str">
            <v>否</v>
          </cell>
        </row>
        <row r="223">
          <cell r="D223" t="str">
            <v>楼梯踏步贴砖</v>
          </cell>
          <cell r="E223" t="str">
            <v>步</v>
          </cell>
          <cell r="F223">
            <v>145</v>
          </cell>
          <cell r="G223" t="str">
            <v>按踏步数计算，转角平台处算量两步</v>
          </cell>
          <cell r="H223" t="str">
            <v>瓷砖胶薄贴法施工，含瓷砖加工、缝隙清理、瓷砖面清理、勾缝、贴保护膜、阳角保护等</v>
          </cell>
          <cell r="I223" t="str">
            <v>CS1402-010</v>
          </cell>
          <cell r="J223" t="str">
            <v>个性</v>
          </cell>
          <cell r="K223" t="str">
            <v>否</v>
          </cell>
        </row>
        <row r="224">
          <cell r="D224" t="str">
            <v>瓷砖填缝升级美缝（卓高）</v>
          </cell>
          <cell r="E224" t="str">
            <v>平米</v>
          </cell>
          <cell r="F224">
            <v>30</v>
          </cell>
          <cell r="G224" t="str">
            <v>按施工面积计算</v>
          </cell>
          <cell r="H224" t="str">
            <v>包含清理缝隙、美缝剂、人工施工等</v>
          </cell>
          <cell r="I224" t="str">
            <v>CS1406-001</v>
          </cell>
          <cell r="J224" t="str">
            <v>个性</v>
          </cell>
          <cell r="K224" t="str">
            <v>否</v>
          </cell>
        </row>
        <row r="225">
          <cell r="D225" t="str">
            <v>地面石材安装</v>
          </cell>
          <cell r="E225" t="str">
            <v>平米</v>
          </cell>
          <cell r="F225">
            <v>165</v>
          </cell>
          <cell r="G225" t="str">
            <v>按施工面积计算</v>
          </cell>
          <cell r="H225" t="str">
            <v>瓷砖胶干贴法施工，含缝隙清理、石材表面清理等</v>
          </cell>
          <cell r="I225" t="str">
            <v>CS1407-001</v>
          </cell>
          <cell r="J225" t="str">
            <v>个性</v>
          </cell>
          <cell r="K225" t="str">
            <v>否</v>
          </cell>
        </row>
        <row r="226">
          <cell r="D226" t="str">
            <v>门槛石安装</v>
          </cell>
          <cell r="E226" t="str">
            <v>米</v>
          </cell>
          <cell r="F226">
            <v>90</v>
          </cell>
          <cell r="G226" t="str">
            <v>按延长米计算，不足一米按一米计算</v>
          </cell>
          <cell r="H226" t="str">
            <v>成品安装</v>
          </cell>
          <cell r="I226" t="str">
            <v>CS1407-002</v>
          </cell>
          <cell r="J226" t="str">
            <v>主材报价</v>
          </cell>
          <cell r="K226" t="str">
            <v>是</v>
          </cell>
        </row>
        <row r="227">
          <cell r="D227" t="str">
            <v>挡水石安装</v>
          </cell>
          <cell r="E227" t="str">
            <v>米</v>
          </cell>
          <cell r="F227">
            <v>60</v>
          </cell>
          <cell r="G227" t="str">
            <v>按延长米计算，单根不足一米按一米计算，有转角的算一根</v>
          </cell>
          <cell r="H227" t="str">
            <v>成品安装</v>
          </cell>
          <cell r="I227" t="str">
            <v>CS1407-003</v>
          </cell>
          <cell r="J227" t="str">
            <v>主材报价</v>
          </cell>
          <cell r="K227" t="str">
            <v>是</v>
          </cell>
        </row>
        <row r="229">
          <cell r="D229" t="str">
            <v>墙面石膏腻子顺平处理</v>
          </cell>
          <cell r="E229" t="str">
            <v>平米</v>
          </cell>
          <cell r="F229">
            <v>58</v>
          </cell>
          <cell r="G229" t="str">
            <v>按施工面积计算，门窗面积按50%计算</v>
          </cell>
          <cell r="H229" t="str">
            <v>刷界面剂、挂网、补钉眼、贴纸胶带、石膏找平、阴阳角处理、两遍腻子施工、打磨和一遍底漆施工等</v>
          </cell>
          <cell r="I229" t="str">
            <v>CS1501-001</v>
          </cell>
          <cell r="J229" t="str">
            <v>√</v>
          </cell>
          <cell r="K229" t="str">
            <v>是</v>
          </cell>
        </row>
        <row r="230">
          <cell r="D230" t="str">
            <v>顶面石膏腻子顺平处理</v>
          </cell>
          <cell r="E230" t="str">
            <v>平米</v>
          </cell>
          <cell r="F230">
            <v>58</v>
          </cell>
          <cell r="G230" t="str">
            <v>按施工面积计算，门窗面积按50%计算</v>
          </cell>
          <cell r="H230" t="str">
            <v>刷界面剂、挂网、补钉眼、贴纸胶带、石膏找平、阴阳角处理、两遍腻子施工、打磨和一遍底漆施工等</v>
          </cell>
          <cell r="I230" t="str">
            <v>CS1501-002</v>
          </cell>
          <cell r="J230" t="str">
            <v>√</v>
          </cell>
          <cell r="K230" t="str">
            <v>是</v>
          </cell>
        </row>
        <row r="231">
          <cell r="D231" t="str">
            <v>墙面基层冲筋做方正</v>
          </cell>
          <cell r="E231" t="str">
            <v>平米</v>
          </cell>
          <cell r="F231">
            <v>108</v>
          </cell>
          <cell r="G231" t="str">
            <v>按施工面积计算，门窗面积按50%计算</v>
          </cell>
          <cell r="H231" t="str">
            <v>刷界面剂、挂网、补钉眼、贴纸胶带、石膏找平、阴阳角处理、两遍腻子施工、打磨和一遍底漆施工等</v>
          </cell>
          <cell r="I231" t="str">
            <v>CS1502-001</v>
          </cell>
          <cell r="J231" t="str">
            <v>个性</v>
          </cell>
          <cell r="K231" t="str">
            <v>否
升级+50元/平</v>
          </cell>
        </row>
        <row r="232">
          <cell r="D232" t="str">
            <v>吊顶直角边线倒圆弧处理</v>
          </cell>
          <cell r="E232" t="str">
            <v>米</v>
          </cell>
          <cell r="F232">
            <v>98</v>
          </cell>
          <cell r="G232" t="str">
            <v>按延长米计算</v>
          </cell>
          <cell r="H232" t="str">
            <v>直角倒圆角处理、打磨、石膏腻子基层、打磨和一遍底漆施工</v>
          </cell>
          <cell r="I232" t="str">
            <v>CS1503-001</v>
          </cell>
          <cell r="J232" t="str">
            <v>个性</v>
          </cell>
          <cell r="K232" t="str">
            <v>升级</v>
          </cell>
        </row>
        <row r="233">
          <cell r="D233" t="str">
            <v>墙面直角倒圆弧处理</v>
          </cell>
          <cell r="E233" t="str">
            <v>米</v>
          </cell>
          <cell r="F233">
            <v>98</v>
          </cell>
          <cell r="G233" t="str">
            <v>按延长米计算</v>
          </cell>
          <cell r="H233" t="str">
            <v>直角倒圆角处理、打磨、石膏腻子基层、打磨和一遍底漆施工</v>
          </cell>
          <cell r="I233" t="str">
            <v>CS1503-002</v>
          </cell>
          <cell r="J233" t="str">
            <v>个性</v>
          </cell>
          <cell r="K233" t="str">
            <v>升级</v>
          </cell>
        </row>
        <row r="235">
          <cell r="D235" t="str">
            <v>墙面基层冲筋做方正加厚10mm厚</v>
          </cell>
          <cell r="E235" t="str">
            <v>平米</v>
          </cell>
          <cell r="F235">
            <v>146</v>
          </cell>
          <cell r="G235" t="str">
            <v>按施工面积计算，门窗面积按50%计算</v>
          </cell>
          <cell r="H235" t="str">
            <v>刷界面剂、挂网、补钉眼、贴纸胶带、石膏找平、阴阳角处理、两遍腻子施工、打磨和一遍底漆施工等</v>
          </cell>
          <cell r="I235" t="str">
            <v>CS1502-002</v>
          </cell>
          <cell r="J235" t="str">
            <v>个性</v>
          </cell>
          <cell r="K235" t="str">
            <v>否
顺平升级+88元/平</v>
          </cell>
        </row>
        <row r="236">
          <cell r="D236" t="str">
            <v>木楔子+石膏板基层加厚10mm</v>
          </cell>
          <cell r="E236" t="str">
            <v>平米</v>
          </cell>
          <cell r="F236">
            <v>88</v>
          </cell>
          <cell r="G236" t="str">
            <v>按施工面积计算</v>
          </cell>
          <cell r="H236" t="str">
            <v>包含木楔子调平，封单层石膏板基层</v>
          </cell>
          <cell r="I236" t="str">
            <v>CS1502-003</v>
          </cell>
          <cell r="J236" t="str">
            <v>个性</v>
          </cell>
          <cell r="K236" t="str">
            <v>否
顺平升级+88元/平</v>
          </cell>
        </row>
        <row r="238">
          <cell r="D238" t="str">
            <v>墙面乳胶漆</v>
          </cell>
          <cell r="E238" t="str">
            <v>平米</v>
          </cell>
          <cell r="F238">
            <v>30</v>
          </cell>
          <cell r="G238" t="str">
            <v>按施工面积计算，门窗面积按50%计算
两个及以上的颜色费用另计</v>
          </cell>
          <cell r="H238" t="str">
            <v>面漆施工,纯净A+超耐洗SB3002，其它型号单价请查询产品手册</v>
          </cell>
          <cell r="I238" t="str">
            <v>CS1601-001</v>
          </cell>
          <cell r="J238" t="str">
            <v>√</v>
          </cell>
          <cell r="K238" t="str">
            <v>是</v>
          </cell>
        </row>
        <row r="239">
          <cell r="D239" t="str">
            <v>顶面乳胶漆</v>
          </cell>
          <cell r="E239" t="str">
            <v>平米</v>
          </cell>
          <cell r="F239">
            <v>20</v>
          </cell>
          <cell r="G239" t="str">
            <v>按施工面积计算
两个及以上的颜色费用另计</v>
          </cell>
          <cell r="H239" t="str">
            <v>面漆施工，纯净520防霉防潮三合一，其它型号单价请查询产品手册</v>
          </cell>
          <cell r="I239" t="str">
            <v>CS1601-002</v>
          </cell>
          <cell r="J239" t="str">
            <v>√</v>
          </cell>
          <cell r="K239" t="str">
            <v>是</v>
          </cell>
        </row>
        <row r="240">
          <cell r="D240" t="str">
            <v>墙面防水乳胶漆</v>
          </cell>
          <cell r="E240" t="str">
            <v>平米</v>
          </cell>
          <cell r="F240">
            <v>20</v>
          </cell>
          <cell r="G240" t="str">
            <v>按施工面积计算，门窗面积按50%计算
两个及以上的颜色费用另计</v>
          </cell>
          <cell r="H240" t="str">
            <v>面漆施工，防水乳胶漆H248-101，其它型号单价请查询产品手册</v>
          </cell>
          <cell r="I240" t="str">
            <v>CS1601-003</v>
          </cell>
          <cell r="J240" t="str">
            <v>√</v>
          </cell>
          <cell r="K240" t="str">
            <v>是</v>
          </cell>
        </row>
        <row r="241">
          <cell r="D241" t="str">
            <v>顶面防水乳胶漆</v>
          </cell>
          <cell r="E241" t="str">
            <v>平米</v>
          </cell>
          <cell r="F241">
            <v>20</v>
          </cell>
          <cell r="G241" t="str">
            <v>按施工面积计算
两个及以上的颜色费用另计</v>
          </cell>
          <cell r="H241" t="str">
            <v>面漆施工，防水乳胶漆H248-101，其它型号单价请查询产品手册</v>
          </cell>
          <cell r="I241" t="str">
            <v>CS1601-004</v>
          </cell>
          <cell r="J241" t="str">
            <v>√</v>
          </cell>
          <cell r="K241" t="str">
            <v>是</v>
          </cell>
        </row>
        <row r="243">
          <cell r="D243" t="str">
            <v>橱柜安装</v>
          </cell>
          <cell r="E243" t="str">
            <v>平米</v>
          </cell>
          <cell r="F243">
            <v>45</v>
          </cell>
          <cell r="G243" t="str">
            <v>按展开面积计算</v>
          </cell>
          <cell r="H243" t="str">
            <v>成品安装</v>
          </cell>
          <cell r="I243" t="str">
            <v>CS1701-001</v>
          </cell>
          <cell r="J243" t="str">
            <v>主材报价</v>
          </cell>
          <cell r="K243" t="str">
            <v>是</v>
          </cell>
        </row>
        <row r="244">
          <cell r="D244" t="str">
            <v>浴室柜安装</v>
          </cell>
          <cell r="E244" t="str">
            <v>平米</v>
          </cell>
          <cell r="F244">
            <v>45</v>
          </cell>
          <cell r="G244" t="str">
            <v>按展开面积计算</v>
          </cell>
          <cell r="H244" t="str">
            <v>成品安装</v>
          </cell>
          <cell r="I244" t="str">
            <v>CS1701-002</v>
          </cell>
          <cell r="J244" t="str">
            <v>主材报价</v>
          </cell>
          <cell r="K244" t="str">
            <v>是</v>
          </cell>
        </row>
        <row r="245">
          <cell r="D245" t="str">
            <v>橱柜台面安装</v>
          </cell>
          <cell r="E245" t="str">
            <v>米</v>
          </cell>
          <cell r="F245">
            <v>155</v>
          </cell>
          <cell r="G245" t="str">
            <v>按延长米计算</v>
          </cell>
          <cell r="H245" t="str">
            <v>成品安装</v>
          </cell>
          <cell r="I245" t="str">
            <v>CS1701-003</v>
          </cell>
          <cell r="J245" t="str">
            <v>主材报价</v>
          </cell>
          <cell r="K245" t="str">
            <v>是</v>
          </cell>
        </row>
        <row r="246">
          <cell r="D246" t="str">
            <v>卫浴柜台面安装</v>
          </cell>
          <cell r="E246" t="str">
            <v>米</v>
          </cell>
          <cell r="F246">
            <v>155</v>
          </cell>
          <cell r="G246" t="str">
            <v>按延长米计算</v>
          </cell>
          <cell r="H246" t="str">
            <v>成品安装</v>
          </cell>
          <cell r="I246" t="str">
            <v>CS1701-004</v>
          </cell>
          <cell r="J246" t="str">
            <v>主材报价</v>
          </cell>
          <cell r="K246" t="str">
            <v>是</v>
          </cell>
        </row>
        <row r="247">
          <cell r="D247" t="str">
            <v>开关插座面板安装</v>
          </cell>
          <cell r="E247" t="str">
            <v>个</v>
          </cell>
          <cell r="F247">
            <v>6</v>
          </cell>
          <cell r="G247" t="str">
            <v>按个数计算</v>
          </cell>
          <cell r="H247" t="str">
            <v>成品安装</v>
          </cell>
          <cell r="I247" t="str">
            <v>CS1701-005</v>
          </cell>
          <cell r="J247" t="str">
            <v>主材报价</v>
          </cell>
          <cell r="K247" t="str">
            <v>是</v>
          </cell>
        </row>
        <row r="248">
          <cell r="D248" t="str">
            <v>浴霸/换气扇安装</v>
          </cell>
          <cell r="E248" t="str">
            <v>套</v>
          </cell>
          <cell r="F248">
            <v>180</v>
          </cell>
          <cell r="G248" t="str">
            <v>按套数计算</v>
          </cell>
          <cell r="H248" t="str">
            <v>成品安装</v>
          </cell>
          <cell r="I248" t="str">
            <v>CS1701-006</v>
          </cell>
          <cell r="J248" t="str">
            <v>主材报价</v>
          </cell>
          <cell r="K248" t="str">
            <v>是</v>
          </cell>
        </row>
        <row r="249">
          <cell r="D249" t="str">
            <v>灯具安装（筒灯/射灯/LED等）</v>
          </cell>
          <cell r="E249" t="str">
            <v>个</v>
          </cell>
          <cell r="F249">
            <v>6</v>
          </cell>
          <cell r="G249" t="str">
            <v>按个数计算</v>
          </cell>
          <cell r="H249" t="str">
            <v>成品安装</v>
          </cell>
          <cell r="I249" t="str">
            <v>CS1701-007</v>
          </cell>
          <cell r="J249" t="str">
            <v>主材报价</v>
          </cell>
          <cell r="K249" t="str">
            <v>是</v>
          </cell>
        </row>
        <row r="250">
          <cell r="D250" t="str">
            <v>灯带安装</v>
          </cell>
          <cell r="E250" t="str">
            <v>米</v>
          </cell>
          <cell r="F250">
            <v>6</v>
          </cell>
          <cell r="G250" t="str">
            <v>按延长米计算</v>
          </cell>
          <cell r="H250" t="str">
            <v>成品安装</v>
          </cell>
          <cell r="I250" t="str">
            <v>CS1701-008</v>
          </cell>
          <cell r="J250" t="str">
            <v>主材报价</v>
          </cell>
          <cell r="K250" t="str">
            <v>是</v>
          </cell>
        </row>
        <row r="251">
          <cell r="D251" t="str">
            <v>格栅灯/条形灯</v>
          </cell>
          <cell r="E251" t="str">
            <v>个</v>
          </cell>
          <cell r="F251">
            <v>50</v>
          </cell>
          <cell r="G251" t="str">
            <v>按个数计算</v>
          </cell>
          <cell r="H251" t="str">
            <v>成品安装</v>
          </cell>
          <cell r="I251" t="str">
            <v>CS1701-009</v>
          </cell>
          <cell r="J251" t="str">
            <v>主材报价</v>
          </cell>
          <cell r="K251" t="str">
            <v>是</v>
          </cell>
        </row>
        <row r="252">
          <cell r="D252" t="str">
            <v>实木地板安装</v>
          </cell>
          <cell r="E252" t="str">
            <v>平米</v>
          </cell>
          <cell r="F252">
            <v>52</v>
          </cell>
          <cell r="G252" t="str">
            <v>按施工面积计算</v>
          </cell>
          <cell r="H252" t="str">
            <v>含安装地垫、木地板、配件安装，完工保护等</v>
          </cell>
          <cell r="I252" t="str">
            <v>CS1701-010</v>
          </cell>
          <cell r="J252" t="str">
            <v>主材报价</v>
          </cell>
          <cell r="K252" t="str">
            <v>否</v>
          </cell>
        </row>
        <row r="253">
          <cell r="D253" t="str">
            <v>强化地板安装</v>
          </cell>
          <cell r="E253" t="str">
            <v>平米</v>
          </cell>
          <cell r="F253">
            <v>30</v>
          </cell>
          <cell r="G253" t="str">
            <v>按施工面积计算</v>
          </cell>
          <cell r="H253" t="str">
            <v>含安装地垫、木地板、配件安装，完工保护等</v>
          </cell>
          <cell r="I253" t="str">
            <v>CS1701-050</v>
          </cell>
          <cell r="J253" t="str">
            <v>主材报价</v>
          </cell>
          <cell r="K253" t="str">
            <v>是</v>
          </cell>
        </row>
        <row r="254">
          <cell r="D254" t="str">
            <v>地板人字拼</v>
          </cell>
          <cell r="E254" t="str">
            <v>平米</v>
          </cell>
          <cell r="F254">
            <v>85</v>
          </cell>
          <cell r="G254" t="str">
            <v>按施工面积计算</v>
          </cell>
          <cell r="H254" t="str">
            <v>含安装地垫、木地板、配件安装，完工保护等</v>
          </cell>
          <cell r="I254" t="str">
            <v>CS1701-051</v>
          </cell>
          <cell r="J254" t="str">
            <v>主材个性</v>
          </cell>
          <cell r="K254" t="str">
            <v>否</v>
          </cell>
        </row>
        <row r="255">
          <cell r="D255" t="str">
            <v>地板鱼骨拼</v>
          </cell>
          <cell r="E255" t="str">
            <v>平米</v>
          </cell>
          <cell r="F255">
            <v>100</v>
          </cell>
          <cell r="G255" t="str">
            <v>按施工面积计算</v>
          </cell>
          <cell r="H255" t="str">
            <v>含安装地垫、木地板、配件安装，完工保护等</v>
          </cell>
          <cell r="I255" t="str">
            <v>CS1701-052</v>
          </cell>
          <cell r="J255" t="str">
            <v>主材个性</v>
          </cell>
          <cell r="K255" t="str">
            <v>否</v>
          </cell>
        </row>
        <row r="256">
          <cell r="D256" t="str">
            <v>木地板上墙</v>
          </cell>
          <cell r="E256" t="str">
            <v>平米</v>
          </cell>
          <cell r="F256">
            <v>95</v>
          </cell>
          <cell r="G256" t="str">
            <v>按施工面积计算</v>
          </cell>
          <cell r="H256" t="str">
            <v>成品安装</v>
          </cell>
          <cell r="I256" t="str">
            <v>CS1701-053</v>
          </cell>
          <cell r="J256" t="str">
            <v>主材个性</v>
          </cell>
          <cell r="K256" t="str">
            <v>否</v>
          </cell>
        </row>
        <row r="257">
          <cell r="D257" t="str">
            <v>踢脚线安装</v>
          </cell>
          <cell r="E257" t="str">
            <v>米</v>
          </cell>
          <cell r="F257">
            <v>12</v>
          </cell>
          <cell r="G257" t="str">
            <v>按延长米计算</v>
          </cell>
          <cell r="H257" t="str">
            <v>含安装踢脚线、打胶等</v>
          </cell>
          <cell r="I257" t="str">
            <v>CS1701-011</v>
          </cell>
          <cell r="J257" t="str">
            <v>主材报价</v>
          </cell>
          <cell r="K257" t="str">
            <v>是</v>
          </cell>
        </row>
        <row r="258">
          <cell r="D258" t="str">
            <v>淋浴房安装</v>
          </cell>
          <cell r="E258" t="str">
            <v>平米</v>
          </cell>
          <cell r="F258">
            <v>168</v>
          </cell>
          <cell r="G258" t="str">
            <v>按展开面积计算</v>
          </cell>
          <cell r="H258" t="str">
            <v>成品安装</v>
          </cell>
          <cell r="I258" t="str">
            <v>CS1701-012</v>
          </cell>
          <cell r="J258" t="str">
            <v>主材报价</v>
          </cell>
          <cell r="K258" t="str">
            <v>是</v>
          </cell>
        </row>
        <row r="259">
          <cell r="D259" t="str">
            <v>水盆安装</v>
          </cell>
          <cell r="E259" t="str">
            <v>套</v>
          </cell>
          <cell r="F259">
            <v>50</v>
          </cell>
          <cell r="G259" t="str">
            <v>按套数计算</v>
          </cell>
          <cell r="H259" t="str">
            <v>成品安装</v>
          </cell>
          <cell r="I259" t="str">
            <v>CS1701-013</v>
          </cell>
          <cell r="J259" t="str">
            <v>主材报价</v>
          </cell>
          <cell r="K259" t="str">
            <v>是</v>
          </cell>
        </row>
        <row r="260">
          <cell r="D260" t="str">
            <v>水盆龙头安装</v>
          </cell>
          <cell r="E260" t="str">
            <v>套</v>
          </cell>
          <cell r="F260">
            <v>50</v>
          </cell>
          <cell r="G260" t="str">
            <v>按套数计算</v>
          </cell>
          <cell r="H260" t="str">
            <v>成品安装</v>
          </cell>
          <cell r="I260" t="str">
            <v>CS1701-014</v>
          </cell>
          <cell r="J260" t="str">
            <v>主材报价</v>
          </cell>
          <cell r="K260" t="str">
            <v>是</v>
          </cell>
        </row>
        <row r="261">
          <cell r="D261" t="str">
            <v>浴缸安装</v>
          </cell>
          <cell r="E261" t="str">
            <v>套</v>
          </cell>
          <cell r="F261">
            <v>480</v>
          </cell>
          <cell r="G261" t="str">
            <v>按套数计算</v>
          </cell>
          <cell r="H261" t="str">
            <v>成品安装</v>
          </cell>
          <cell r="I261" t="str">
            <v>CS1701-015</v>
          </cell>
          <cell r="J261" t="str">
            <v>主材个性</v>
          </cell>
          <cell r="K261" t="str">
            <v>否</v>
          </cell>
        </row>
        <row r="262">
          <cell r="D262" t="str">
            <v>卫浴镜安装</v>
          </cell>
          <cell r="E262" t="str">
            <v>套</v>
          </cell>
          <cell r="F262">
            <v>150</v>
          </cell>
          <cell r="G262" t="str">
            <v>按套数计算</v>
          </cell>
          <cell r="H262" t="str">
            <v>成品安装</v>
          </cell>
          <cell r="I262" t="str">
            <v>CS1701-016</v>
          </cell>
          <cell r="J262" t="str">
            <v>主材报价</v>
          </cell>
          <cell r="K262" t="str">
            <v>是</v>
          </cell>
        </row>
        <row r="263">
          <cell r="D263" t="str">
            <v>马桶安装</v>
          </cell>
          <cell r="E263" t="str">
            <v>套</v>
          </cell>
          <cell r="F263">
            <v>100</v>
          </cell>
          <cell r="G263" t="str">
            <v>按套数计算</v>
          </cell>
          <cell r="H263" t="str">
            <v>成品安装</v>
          </cell>
          <cell r="I263" t="str">
            <v>CS1701-017</v>
          </cell>
          <cell r="J263" t="str">
            <v>主材报价</v>
          </cell>
          <cell r="K263" t="str">
            <v>是</v>
          </cell>
        </row>
        <row r="264">
          <cell r="D264" t="str">
            <v>蹲便器安装</v>
          </cell>
          <cell r="E264" t="str">
            <v>套</v>
          </cell>
          <cell r="F264">
            <v>80</v>
          </cell>
          <cell r="G264" t="str">
            <v>按套数计算</v>
          </cell>
          <cell r="H264" t="str">
            <v>成品安装</v>
          </cell>
          <cell r="I264" t="str">
            <v>CS1701-018</v>
          </cell>
          <cell r="J264" t="str">
            <v>主材报价</v>
          </cell>
          <cell r="K264" t="str">
            <v>是</v>
          </cell>
        </row>
        <row r="265">
          <cell r="D265" t="str">
            <v>洗脸盆安装</v>
          </cell>
          <cell r="E265" t="str">
            <v>套</v>
          </cell>
          <cell r="F265">
            <v>50</v>
          </cell>
          <cell r="G265" t="str">
            <v>按套数计算</v>
          </cell>
          <cell r="H265" t="str">
            <v>成品安装</v>
          </cell>
          <cell r="I265" t="str">
            <v>CS1701-019</v>
          </cell>
          <cell r="J265" t="str">
            <v>主材报价</v>
          </cell>
          <cell r="K265" t="str">
            <v>是</v>
          </cell>
        </row>
        <row r="266">
          <cell r="D266" t="str">
            <v>洗脸盆龙头安装</v>
          </cell>
          <cell r="E266" t="str">
            <v>套</v>
          </cell>
          <cell r="F266">
            <v>50</v>
          </cell>
          <cell r="G266" t="str">
            <v>按套数计算</v>
          </cell>
          <cell r="H266" t="str">
            <v>成品安装</v>
          </cell>
          <cell r="I266" t="str">
            <v>CS1701-020</v>
          </cell>
          <cell r="J266" t="str">
            <v>主材报价</v>
          </cell>
          <cell r="K266" t="str">
            <v>是</v>
          </cell>
        </row>
        <row r="267">
          <cell r="D267" t="str">
            <v>花洒安装</v>
          </cell>
          <cell r="E267" t="str">
            <v>套</v>
          </cell>
          <cell r="F267">
            <v>50</v>
          </cell>
          <cell r="G267" t="str">
            <v>按套数计算</v>
          </cell>
          <cell r="H267" t="str">
            <v>成品安装</v>
          </cell>
          <cell r="I267" t="str">
            <v>CS1701-021</v>
          </cell>
          <cell r="J267" t="str">
            <v>主材报价</v>
          </cell>
          <cell r="K267" t="str">
            <v>是</v>
          </cell>
        </row>
        <row r="268">
          <cell r="D268" t="str">
            <v>浴巾架安装</v>
          </cell>
          <cell r="E268" t="str">
            <v>套</v>
          </cell>
          <cell r="F268">
            <v>20</v>
          </cell>
          <cell r="G268" t="str">
            <v>按套数计算</v>
          </cell>
          <cell r="H268" t="str">
            <v>成品安装</v>
          </cell>
          <cell r="I268" t="str">
            <v>CS1701-022</v>
          </cell>
          <cell r="J268" t="str">
            <v>主材报价</v>
          </cell>
          <cell r="K268" t="str">
            <v>是</v>
          </cell>
        </row>
        <row r="269">
          <cell r="D269" t="str">
            <v>毛巾圈安装</v>
          </cell>
          <cell r="E269" t="str">
            <v>套</v>
          </cell>
          <cell r="F269">
            <v>20</v>
          </cell>
          <cell r="G269" t="str">
            <v>按套数计算</v>
          </cell>
          <cell r="H269" t="str">
            <v>成品安装</v>
          </cell>
          <cell r="I269" t="str">
            <v>CS1701-023</v>
          </cell>
          <cell r="J269" t="str">
            <v>主材报价</v>
          </cell>
          <cell r="K269" t="str">
            <v>是</v>
          </cell>
        </row>
        <row r="270">
          <cell r="D270" t="str">
            <v>挂衣钩安装</v>
          </cell>
          <cell r="E270" t="str">
            <v>套</v>
          </cell>
          <cell r="F270">
            <v>20</v>
          </cell>
          <cell r="G270" t="str">
            <v>按套数计算</v>
          </cell>
          <cell r="H270" t="str">
            <v>成品安装</v>
          </cell>
          <cell r="I270" t="str">
            <v>CS1701-024</v>
          </cell>
          <cell r="J270" t="str">
            <v>主材报价</v>
          </cell>
          <cell r="K270" t="str">
            <v>是</v>
          </cell>
        </row>
        <row r="271">
          <cell r="D271" t="str">
            <v>置物篮安装</v>
          </cell>
          <cell r="E271" t="str">
            <v>套</v>
          </cell>
          <cell r="F271">
            <v>20</v>
          </cell>
          <cell r="G271" t="str">
            <v>按套数计算</v>
          </cell>
          <cell r="H271" t="str">
            <v>成品安装</v>
          </cell>
          <cell r="I271" t="str">
            <v>CS1701-025</v>
          </cell>
          <cell r="J271" t="str">
            <v>主材报价</v>
          </cell>
          <cell r="K271" t="str">
            <v>是</v>
          </cell>
        </row>
        <row r="272">
          <cell r="D272" t="str">
            <v>厕纸架安装</v>
          </cell>
          <cell r="E272" t="str">
            <v>套</v>
          </cell>
          <cell r="F272">
            <v>20</v>
          </cell>
          <cell r="G272" t="str">
            <v>按套数计算</v>
          </cell>
          <cell r="H272" t="str">
            <v>成品安装</v>
          </cell>
          <cell r="I272" t="str">
            <v>CS1701-026</v>
          </cell>
          <cell r="J272" t="str">
            <v>主材报价</v>
          </cell>
          <cell r="K272" t="str">
            <v>是</v>
          </cell>
        </row>
        <row r="273">
          <cell r="D273" t="str">
            <v>马桶刷安装</v>
          </cell>
          <cell r="E273" t="str">
            <v>套</v>
          </cell>
          <cell r="F273">
            <v>20</v>
          </cell>
          <cell r="G273" t="str">
            <v>按套数计算</v>
          </cell>
          <cell r="H273" t="str">
            <v>成品安装</v>
          </cell>
          <cell r="I273" t="str">
            <v>CS1701-027</v>
          </cell>
          <cell r="J273" t="str">
            <v>主材报价</v>
          </cell>
          <cell r="K273" t="str">
            <v>是</v>
          </cell>
        </row>
        <row r="274">
          <cell r="D274" t="str">
            <v>洗衣机龙头安装</v>
          </cell>
          <cell r="E274" t="str">
            <v>套</v>
          </cell>
          <cell r="F274">
            <v>20</v>
          </cell>
          <cell r="G274" t="str">
            <v>按套数计算</v>
          </cell>
          <cell r="H274" t="str">
            <v>成品安装</v>
          </cell>
          <cell r="I274" t="str">
            <v>CS1701-028</v>
          </cell>
          <cell r="J274" t="str">
            <v>主材报价</v>
          </cell>
          <cell r="K274" t="str">
            <v>是</v>
          </cell>
        </row>
        <row r="275">
          <cell r="D275" t="str">
            <v>电热毛巾架安装</v>
          </cell>
          <cell r="E275" t="str">
            <v>套</v>
          </cell>
          <cell r="F275">
            <v>20</v>
          </cell>
          <cell r="G275" t="str">
            <v>按套数计算</v>
          </cell>
          <cell r="H275" t="str">
            <v>成品安装</v>
          </cell>
          <cell r="I275" t="str">
            <v>CS1701-029</v>
          </cell>
          <cell r="J275" t="str">
            <v>主材个性</v>
          </cell>
          <cell r="K275" t="str">
            <v>否</v>
          </cell>
        </row>
        <row r="276">
          <cell r="D276" t="str">
            <v>化妆镜安装</v>
          </cell>
          <cell r="E276" t="str">
            <v>套</v>
          </cell>
          <cell r="F276">
            <v>20</v>
          </cell>
          <cell r="G276" t="str">
            <v>按套数计算</v>
          </cell>
          <cell r="H276" t="str">
            <v>成品安装</v>
          </cell>
          <cell r="I276" t="str">
            <v>CS1701-030</v>
          </cell>
          <cell r="J276" t="str">
            <v>主材个性</v>
          </cell>
          <cell r="K276" t="str">
            <v>否</v>
          </cell>
        </row>
        <row r="277">
          <cell r="D277" t="str">
            <v>洗碗机安装</v>
          </cell>
          <cell r="E277" t="str">
            <v>套</v>
          </cell>
          <cell r="F277">
            <v>168</v>
          </cell>
          <cell r="G277" t="str">
            <v>按套数计算</v>
          </cell>
          <cell r="H277" t="str">
            <v>成品安装</v>
          </cell>
          <cell r="I277" t="str">
            <v>CS1701-031</v>
          </cell>
          <cell r="J277" t="str">
            <v>主材个性</v>
          </cell>
          <cell r="K277" t="str">
            <v>否</v>
          </cell>
        </row>
        <row r="278">
          <cell r="D278" t="str">
            <v>平开门（含门套、门、五金）</v>
          </cell>
          <cell r="E278" t="str">
            <v>套</v>
          </cell>
          <cell r="F278">
            <v>288</v>
          </cell>
          <cell r="G278" t="str">
            <v>按套数计算</v>
          </cell>
          <cell r="H278" t="str">
            <v>成品安装(含门套、门、五金)</v>
          </cell>
          <cell r="I278" t="str">
            <v>CS1701-032</v>
          </cell>
          <cell r="J278" t="str">
            <v>主材报价</v>
          </cell>
          <cell r="K278" t="str">
            <v>是</v>
          </cell>
        </row>
        <row r="279">
          <cell r="D279" t="str">
            <v>垭口门套</v>
          </cell>
          <cell r="E279" t="str">
            <v>套</v>
          </cell>
          <cell r="F279">
            <v>230</v>
          </cell>
          <cell r="G279" t="str">
            <v>按套数计算</v>
          </cell>
          <cell r="H279" t="str">
            <v>成品门套安装</v>
          </cell>
          <cell r="I279" t="str">
            <v>CS1701-033</v>
          </cell>
          <cell r="J279" t="str">
            <v>主材报价</v>
          </cell>
          <cell r="K279" t="str">
            <v>是</v>
          </cell>
        </row>
        <row r="280">
          <cell r="D280" t="str">
            <v>墙板隐形门（含门、五金）</v>
          </cell>
          <cell r="E280" t="str">
            <v>套</v>
          </cell>
          <cell r="F280">
            <v>300</v>
          </cell>
          <cell r="G280" t="str">
            <v>按套数计算</v>
          </cell>
          <cell r="H280" t="str">
            <v>成品安装(含门、五金)</v>
          </cell>
          <cell r="I280" t="str">
            <v>CS1701-045</v>
          </cell>
          <cell r="J280" t="str">
            <v>主材报价</v>
          </cell>
          <cell r="K280" t="str">
            <v>是</v>
          </cell>
        </row>
        <row r="281">
          <cell r="D281" t="str">
            <v>子母门（含门、五金）</v>
          </cell>
          <cell r="E281" t="str">
            <v>套</v>
          </cell>
          <cell r="F281">
            <v>345</v>
          </cell>
          <cell r="G281" t="str">
            <v>按套数计算</v>
          </cell>
          <cell r="H281" t="str">
            <v>成品安装(含门套、门、五金)</v>
          </cell>
          <cell r="I281" t="str">
            <v>CS1701-046</v>
          </cell>
          <cell r="J281" t="str">
            <v>主材个性</v>
          </cell>
          <cell r="K281" t="str">
            <v>否</v>
          </cell>
        </row>
        <row r="282">
          <cell r="D282" t="str">
            <v>单扇隐藏移门（含门套、门、五金）</v>
          </cell>
          <cell r="E282" t="str">
            <v>套</v>
          </cell>
          <cell r="F282">
            <v>388</v>
          </cell>
          <cell r="G282" t="str">
            <v>按套数计算</v>
          </cell>
          <cell r="H282" t="str">
            <v>成品安装(含门套、门、轨道、五金等)</v>
          </cell>
          <cell r="I282" t="str">
            <v>CS1701-034</v>
          </cell>
          <cell r="J282" t="str">
            <v>主材个性</v>
          </cell>
          <cell r="K282" t="str">
            <v>否</v>
          </cell>
        </row>
        <row r="283">
          <cell r="D283" t="str">
            <v>双扇隐藏移门（含门套、门、五金）</v>
          </cell>
          <cell r="E283" t="str">
            <v>套</v>
          </cell>
          <cell r="F283">
            <v>488</v>
          </cell>
          <cell r="G283" t="str">
            <v>按套数计算</v>
          </cell>
          <cell r="H283" t="str">
            <v>成品安装(含门套、门、轨道、五金等)</v>
          </cell>
          <cell r="I283" t="str">
            <v>CS1701-035</v>
          </cell>
          <cell r="J283" t="str">
            <v>主材个性</v>
          </cell>
          <cell r="K283" t="str">
            <v>否</v>
          </cell>
        </row>
        <row r="284">
          <cell r="D284" t="str">
            <v>单扇玻璃推拉门（门、五金）</v>
          </cell>
          <cell r="E284" t="str">
            <v>套</v>
          </cell>
          <cell r="F284">
            <v>255</v>
          </cell>
          <cell r="G284" t="str">
            <v>按套数计算</v>
          </cell>
          <cell r="H284" t="str">
            <v>成品安装(含门、轨道、五金等)</v>
          </cell>
          <cell r="I284" t="str">
            <v>CS1701-036</v>
          </cell>
          <cell r="J284" t="str">
            <v>主材报价</v>
          </cell>
          <cell r="K284" t="str">
            <v>是</v>
          </cell>
        </row>
        <row r="285">
          <cell r="D285" t="str">
            <v>双扇玻璃推拉门（门、五金）</v>
          </cell>
          <cell r="E285" t="str">
            <v>套</v>
          </cell>
          <cell r="F285">
            <v>335</v>
          </cell>
          <cell r="G285" t="str">
            <v>按套数计算</v>
          </cell>
          <cell r="H285" t="str">
            <v>成品安装(含门、轨道、五金等)</v>
          </cell>
          <cell r="I285" t="str">
            <v>CS1701-037</v>
          </cell>
          <cell r="J285" t="str">
            <v>主材个性</v>
          </cell>
          <cell r="K285" t="str">
            <v>否</v>
          </cell>
        </row>
        <row r="286">
          <cell r="D286" t="str">
            <v>三扇玻璃推拉门（门、五金）</v>
          </cell>
          <cell r="E286" t="str">
            <v>套</v>
          </cell>
          <cell r="F286">
            <v>465</v>
          </cell>
          <cell r="G286" t="str">
            <v>按套数计算</v>
          </cell>
          <cell r="H286" t="str">
            <v>成品安装(含门、轨道、五金等)</v>
          </cell>
          <cell r="I286" t="str">
            <v>CS1701-038</v>
          </cell>
          <cell r="J286" t="str">
            <v>主材个性</v>
          </cell>
          <cell r="K286" t="str">
            <v>否</v>
          </cell>
        </row>
        <row r="287">
          <cell r="D287" t="str">
            <v>四扇玻璃推拉门（门、五金）</v>
          </cell>
          <cell r="E287" t="str">
            <v>套</v>
          </cell>
          <cell r="F287">
            <v>560</v>
          </cell>
          <cell r="G287" t="str">
            <v>按套数计算</v>
          </cell>
          <cell r="H287" t="str">
            <v>成品安装(含门、轨道、五金等)</v>
          </cell>
          <cell r="I287" t="str">
            <v>CS1701-039</v>
          </cell>
          <cell r="J287" t="str">
            <v>主材个性</v>
          </cell>
          <cell r="K287" t="str">
            <v>否</v>
          </cell>
        </row>
        <row r="288">
          <cell r="D288" t="str">
            <v>三联动玻璃门（门、五金）</v>
          </cell>
          <cell r="E288" t="str">
            <v>套</v>
          </cell>
          <cell r="F288">
            <v>485</v>
          </cell>
          <cell r="G288" t="str">
            <v>按套数计算</v>
          </cell>
          <cell r="H288" t="str">
            <v>成品安装(含门、轨道、五金等)</v>
          </cell>
          <cell r="I288" t="str">
            <v>CS1701-047</v>
          </cell>
          <cell r="J288" t="str">
            <v>主材个性</v>
          </cell>
          <cell r="K288" t="str">
            <v>否</v>
          </cell>
        </row>
        <row r="289">
          <cell r="D289" t="str">
            <v>墙板安装</v>
          </cell>
          <cell r="E289" t="str">
            <v>平米</v>
          </cell>
          <cell r="F289">
            <v>128</v>
          </cell>
          <cell r="G289" t="str">
            <v>按平米计算</v>
          </cell>
          <cell r="H289" t="str">
            <v>成品安装</v>
          </cell>
          <cell r="I289" t="str">
            <v>CS1701-048</v>
          </cell>
          <cell r="J289" t="str">
            <v>主材个性</v>
          </cell>
          <cell r="K289" t="str">
            <v>否</v>
          </cell>
        </row>
        <row r="290">
          <cell r="D290" t="str">
            <v>不锈钢装饰条安装</v>
          </cell>
          <cell r="E290" t="str">
            <v>米</v>
          </cell>
          <cell r="F290">
            <v>17</v>
          </cell>
          <cell r="G290" t="str">
            <v>按延长米计算</v>
          </cell>
          <cell r="H290" t="str">
            <v>成品安装</v>
          </cell>
          <cell r="I290" t="str">
            <v>CS1701-049</v>
          </cell>
          <cell r="J290" t="str">
            <v>主材个性</v>
          </cell>
          <cell r="K290" t="str">
            <v>否</v>
          </cell>
        </row>
        <row r="291">
          <cell r="D291" t="str">
            <v>窗台石安装</v>
          </cell>
          <cell r="E291" t="str">
            <v>平米</v>
          </cell>
          <cell r="F291">
            <v>145</v>
          </cell>
          <cell r="G291" t="str">
            <v>按面积计算(200㎡以内的项目标配4㎡)</v>
          </cell>
          <cell r="H291" t="str">
            <v>成品安装</v>
          </cell>
          <cell r="I291" t="str">
            <v>CS1701-042</v>
          </cell>
          <cell r="J291" t="str">
            <v>主材报价</v>
          </cell>
          <cell r="K291" t="str">
            <v>是</v>
          </cell>
        </row>
        <row r="292">
          <cell r="D292" t="str">
            <v>明装马桶升级壁挂马桶</v>
          </cell>
          <cell r="E292" t="str">
            <v>套</v>
          </cell>
          <cell r="F292">
            <v>1199</v>
          </cell>
          <cell r="G292" t="str">
            <v>按套数计算</v>
          </cell>
          <cell r="H292" t="str">
            <v>预埋件安装，龙骨加固，隐藏水箱安装</v>
          </cell>
          <cell r="I292" t="str">
            <v>CS1701-043</v>
          </cell>
          <cell r="J292" t="str">
            <v>主材个性</v>
          </cell>
          <cell r="K292" t="str">
            <v>否</v>
          </cell>
        </row>
        <row r="293">
          <cell r="D293" t="str">
            <v>明装花洒升级暗埋花洒</v>
          </cell>
          <cell r="E293" t="str">
            <v>套</v>
          </cell>
          <cell r="F293">
            <v>258</v>
          </cell>
          <cell r="G293" t="str">
            <v>按套数计算</v>
          </cell>
          <cell r="H293" t="str">
            <v>墙面开槽，花洒预埋件安装</v>
          </cell>
          <cell r="I293" t="str">
            <v>CS1701-044</v>
          </cell>
          <cell r="J293" t="str">
            <v>主材个性</v>
          </cell>
          <cell r="K293" t="str">
            <v>否</v>
          </cell>
        </row>
        <row r="295">
          <cell r="D295" t="str">
            <v>室内垃圾清理，现场5S</v>
          </cell>
          <cell r="E295" t="str">
            <v>平米</v>
          </cell>
          <cell r="F295">
            <v>8</v>
          </cell>
          <cell r="G295" t="str">
            <v>按合同面积计算</v>
          </cell>
          <cell r="H295" t="str">
            <v>包含室内垃圾清理，清运至物业指定地点，现场5S维护等</v>
          </cell>
          <cell r="I295" t="str">
            <v>CS1802-001</v>
          </cell>
          <cell r="J295" t="str">
            <v>√</v>
          </cell>
          <cell r="K295" t="str">
            <v>是</v>
          </cell>
        </row>
        <row r="296">
          <cell r="D296" t="str">
            <v>建渣外运</v>
          </cell>
          <cell r="E296" t="str">
            <v>车</v>
          </cell>
          <cell r="F296">
            <v>1400</v>
          </cell>
          <cell r="G296" t="str">
            <v>按车计算
100平米以内4车，每50平米一个阶梯增加1车。</v>
          </cell>
          <cell r="H296" t="str">
            <v>适用范围：仅限小区内无建渣池客户要求我方外运建渣的项目</v>
          </cell>
          <cell r="I296" t="str">
            <v>CS1802-002</v>
          </cell>
          <cell r="J296" t="str">
            <v>√</v>
          </cell>
          <cell r="K296" t="str">
            <v>否</v>
          </cell>
        </row>
        <row r="297">
          <cell r="D297" t="str">
            <v>建渣转运</v>
          </cell>
          <cell r="E297" t="str">
            <v>车</v>
          </cell>
          <cell r="F297">
            <v>400</v>
          </cell>
          <cell r="G297" t="str">
            <v>按车计算
100平米以内4车，每50平米一个阶梯增加1车。</v>
          </cell>
          <cell r="H297" t="str">
            <v>适用范围：
1）建渣池不在小区内的；
2）无法直接用小推车需要从地下室转运建渣至地面的；
3）小区内无建渣池需要转运至小区外物业制定地点的。</v>
          </cell>
          <cell r="I297" t="str">
            <v>CS1802-004</v>
          </cell>
          <cell r="J297" t="str">
            <v>个性</v>
          </cell>
          <cell r="K297" t="str">
            <v>否</v>
          </cell>
        </row>
        <row r="298">
          <cell r="D298" t="str">
            <v>建渣集中清理</v>
          </cell>
          <cell r="E298" t="str">
            <v>平米</v>
          </cell>
          <cell r="F298">
            <v>10</v>
          </cell>
          <cell r="G298" t="str">
            <v>按合同面积计算，最低收费1000元/户</v>
          </cell>
          <cell r="H298" t="str">
            <v>适用范围：仅限物业要求需要定时清理建渣到小区内建渣池的项目</v>
          </cell>
          <cell r="I298" t="str">
            <v>CS1802-005</v>
          </cell>
          <cell r="J298" t="str">
            <v>个性</v>
          </cell>
          <cell r="K298" t="str">
            <v>否</v>
          </cell>
        </row>
        <row r="299">
          <cell r="D299" t="str">
            <v>无电梯建渣下楼搬运费</v>
          </cell>
          <cell r="E299" t="str">
            <v>元/㎡/层</v>
          </cell>
          <cell r="F299">
            <v>6</v>
          </cell>
          <cell r="G299" t="str">
            <v>按楼层面积计算
从起步楼层1楼算起，2楼6元/平米，3、4楼12元/平米，5楼及以上18元/平米</v>
          </cell>
          <cell r="H299" t="str">
            <v>仅包含建渣装袋人工搬运至物业指定的小区内建渣池，台阶&gt;3级的需计算费用</v>
          </cell>
          <cell r="I299" t="str">
            <v>CS1802-006</v>
          </cell>
          <cell r="J299" t="str">
            <v>个性</v>
          </cell>
          <cell r="K299" t="str">
            <v>否</v>
          </cell>
        </row>
        <row r="300">
          <cell r="D300" t="str">
            <v>开荒保洁</v>
          </cell>
          <cell r="E300" t="str">
            <v>平米</v>
          </cell>
          <cell r="F300">
            <v>7</v>
          </cell>
          <cell r="G300" t="str">
            <v>按合同面积计算</v>
          </cell>
          <cell r="H300" t="str">
            <v>对施工现场进行初步清洁，确保现场基本洁净，满足成品安装条件</v>
          </cell>
          <cell r="I300" t="str">
            <v>CS1803-001</v>
          </cell>
          <cell r="J300" t="str">
            <v>√</v>
          </cell>
          <cell r="K300" t="str">
            <v>是</v>
          </cell>
        </row>
        <row r="301">
          <cell r="D301" t="str">
            <v>精保洁</v>
          </cell>
          <cell r="E301" t="str">
            <v>平米</v>
          </cell>
          <cell r="F301">
            <v>7</v>
          </cell>
          <cell r="G301" t="str">
            <v>按合同面积计算</v>
          </cell>
          <cell r="H301" t="str">
            <v>对现场深度清洁，确保清洁完成后现场清洁干净，无灰尘，无污渍，无水渍，达到交付标准</v>
          </cell>
          <cell r="I301" t="str">
            <v>CS1803-002</v>
          </cell>
          <cell r="J301" t="str">
            <v>√</v>
          </cell>
          <cell r="K301" t="str">
            <v>是</v>
          </cell>
        </row>
        <row r="302">
          <cell r="D302" t="str">
            <v>精修、打胶收口</v>
          </cell>
          <cell r="E302" t="str">
            <v>平米</v>
          </cell>
          <cell r="F302">
            <v>8</v>
          </cell>
          <cell r="G302" t="str">
            <v>按合同面积计算</v>
          </cell>
          <cell r="H302" t="str">
            <v>施工结束后由专业乳胶漆、艺术漆涂装公司进行精修</v>
          </cell>
          <cell r="I302" t="str">
            <v>CS1803-003</v>
          </cell>
          <cell r="J302" t="str">
            <v>主材报价</v>
          </cell>
          <cell r="K302" t="str">
            <v>否</v>
          </cell>
        </row>
        <row r="303">
          <cell r="D303" t="str">
            <v>钢架焊接地台</v>
          </cell>
          <cell r="E303" t="str">
            <v>平米</v>
          </cell>
          <cell r="F303">
            <v>480</v>
          </cell>
          <cell r="G303" t="str">
            <v>按施工面积计算</v>
          </cell>
          <cell r="H303" t="str">
            <v>地台高度≤250mm的双层钢架地台</v>
          </cell>
          <cell r="I303" t="str">
            <v>CS1804-001</v>
          </cell>
          <cell r="J303" t="str">
            <v>个性</v>
          </cell>
          <cell r="K303" t="str">
            <v>否</v>
          </cell>
        </row>
        <row r="304">
          <cell r="D304" t="str">
            <v>转换层焊接（单层）</v>
          </cell>
          <cell r="E304" t="str">
            <v>平米</v>
          </cell>
          <cell r="F304">
            <v>320</v>
          </cell>
          <cell r="G304" t="str">
            <v>按施工面积计算
楼梯间转换层需计算整个楼梯间区域</v>
          </cell>
          <cell r="H304" t="str">
            <v>一般用于楼梯间超高施工使用</v>
          </cell>
          <cell r="I304" t="str">
            <v>CS1804-002</v>
          </cell>
          <cell r="J304" t="str">
            <v>个性</v>
          </cell>
          <cell r="K304" t="str">
            <v>否</v>
          </cell>
        </row>
        <row r="305">
          <cell r="D305" t="str">
            <v>转换层焊接（双层）</v>
          </cell>
          <cell r="E305" t="str">
            <v>平米</v>
          </cell>
          <cell r="F305">
            <v>535</v>
          </cell>
          <cell r="G305" t="str">
            <v>按施工面积计算</v>
          </cell>
          <cell r="H305" t="str">
            <v>一般用于楼梯间超高或吊顶超高施工使用</v>
          </cell>
          <cell r="I305" t="str">
            <v>CS1804-003</v>
          </cell>
          <cell r="J305" t="str">
            <v>个性</v>
          </cell>
          <cell r="K305" t="str">
            <v>否</v>
          </cell>
        </row>
        <row r="306">
          <cell r="D306" t="str">
            <v>楼梯防护栏焊接</v>
          </cell>
          <cell r="E306" t="str">
            <v>米</v>
          </cell>
          <cell r="F306">
            <v>249</v>
          </cell>
          <cell r="G306" t="str">
            <v>按延长米计算</v>
          </cell>
          <cell r="H306" t="str">
            <v>一般用于别墅无防护结构的楼梯（防护栏焊接高1.3m）</v>
          </cell>
          <cell r="I306" t="str">
            <v>CS1804-004</v>
          </cell>
          <cell r="J306" t="str">
            <v>个性</v>
          </cell>
          <cell r="K306" t="str">
            <v>否</v>
          </cell>
        </row>
        <row r="307">
          <cell r="D307" t="str">
            <v>搭建临时楼梯</v>
          </cell>
          <cell r="E307" t="str">
            <v>跨</v>
          </cell>
          <cell r="F307">
            <v>3000</v>
          </cell>
          <cell r="G307" t="str">
            <v>按跨数计算，从一楼到二楼算一跨
两跨及以上，每增加一跨增加2500元</v>
          </cell>
          <cell r="H307" t="str">
            <v>1.适用范围：跃层、复式结构或别墅等无室内楼梯的户型；
2.搭建方式：木板或钢架楼梯框架+踏板。</v>
          </cell>
          <cell r="I307" t="str">
            <v>CS1804-005</v>
          </cell>
          <cell r="J307" t="str">
            <v>个性</v>
          </cell>
          <cell r="K307" t="str">
            <v>否</v>
          </cell>
        </row>
        <row r="308">
          <cell r="D308" t="str">
            <v>超高施工</v>
          </cell>
          <cell r="E308" t="str">
            <v>项</v>
          </cell>
          <cell r="F308">
            <v>0.1</v>
          </cell>
          <cell r="G308" t="str">
            <v>按合同总造价计算</v>
          </cell>
          <cell r="H308" t="str">
            <v>包含超高施工的人工费</v>
          </cell>
          <cell r="I308" t="str">
            <v>CS1805-001</v>
          </cell>
          <cell r="J308" t="str">
            <v>个性</v>
          </cell>
          <cell r="K308" t="str">
            <v>否</v>
          </cell>
        </row>
        <row r="309">
          <cell r="D309" t="str">
            <v>墙面超高-油工基层处理（含底漆）（层高3.2米以上）</v>
          </cell>
          <cell r="E309" t="str">
            <v>平米</v>
          </cell>
          <cell r="F309">
            <v>78</v>
          </cell>
          <cell r="G309" t="str">
            <v>按超高区域墙面面积计算</v>
          </cell>
          <cell r="H309" t="str">
            <v>层高超过3.2m部分墙面的施工费，含铲墙、墙固、石膏、腻子、底漆的墙面基层处理的人工及材料</v>
          </cell>
          <cell r="I309" t="str">
            <v>CS1805-002</v>
          </cell>
          <cell r="J309" t="str">
            <v>个性</v>
          </cell>
          <cell r="K309" t="str">
            <v>否</v>
          </cell>
        </row>
        <row r="310">
          <cell r="D310" t="str">
            <v>墙面超高-艺术漆（面漆）（层高3.2米以上）</v>
          </cell>
          <cell r="E310" t="str">
            <v>平米</v>
          </cell>
          <cell r="F310">
            <v>199</v>
          </cell>
          <cell r="G310" t="str">
            <v>按超高区域墙面面积计算</v>
          </cell>
          <cell r="H310" t="str">
            <v>层高超过3.2m部分墙面的施工，含艺术漆面漆处理的人工及材料</v>
          </cell>
          <cell r="I310" t="str">
            <v>CS1805-003</v>
          </cell>
          <cell r="J310" t="str">
            <v>个性</v>
          </cell>
          <cell r="K310" t="str">
            <v>否</v>
          </cell>
        </row>
        <row r="311">
          <cell r="D311" t="str">
            <v>墙面超高-乳胶漆（面漆）（层高3.2米以上）</v>
          </cell>
          <cell r="E311" t="str">
            <v>平米</v>
          </cell>
          <cell r="F311">
            <v>40</v>
          </cell>
          <cell r="G311" t="str">
            <v>按超高区域墙面面积计算</v>
          </cell>
          <cell r="H311" t="str">
            <v>层高超过3.2m部分墙面的施工，含乳胶漆漆面漆处理的人工及材料</v>
          </cell>
          <cell r="I311" t="str">
            <v>CS1805-004</v>
          </cell>
          <cell r="J311" t="str">
            <v>个性</v>
          </cell>
          <cell r="K311" t="str">
            <v>否</v>
          </cell>
        </row>
        <row r="312">
          <cell r="D312" t="str">
            <v>顶面超高-油工基层处理（层高3.2米以上）</v>
          </cell>
          <cell r="E312" t="str">
            <v>平米</v>
          </cell>
          <cell r="F312" t="str">
            <v>+10</v>
          </cell>
          <cell r="G312" t="str">
            <v>按超高区域墙面面积计算，在基础收费上加收</v>
          </cell>
          <cell r="H312" t="str">
            <v>层高超过3.2m部分的额外人工施工费用</v>
          </cell>
          <cell r="I312" t="str">
            <v>CS1805-005</v>
          </cell>
          <cell r="J312" t="str">
            <v>个性</v>
          </cell>
          <cell r="K312" t="str">
            <v>否</v>
          </cell>
        </row>
        <row r="313">
          <cell r="D313" t="str">
            <v>吊顶超高施工费-吊顶下吊高度500mm以内（层高3.2米以上）</v>
          </cell>
          <cell r="E313" t="str">
            <v>平米</v>
          </cell>
          <cell r="F313" t="str">
            <v>+35</v>
          </cell>
          <cell r="G313" t="str">
            <v>按超高区域吊顶面积计算，在基础收费上加收</v>
          </cell>
          <cell r="H313" t="str">
            <v>吊顶下吊高度500mm以内，层高超过3.2m部分的额外人工施工费用</v>
          </cell>
          <cell r="I313" t="str">
            <v>CS1805-006</v>
          </cell>
          <cell r="J313" t="str">
            <v>个性</v>
          </cell>
          <cell r="K313" t="str">
            <v>否</v>
          </cell>
        </row>
        <row r="314">
          <cell r="D314" t="str">
            <v>吊顶超高施工费-吊顶下吊高度≤1500mm（层高3.8米以上）</v>
          </cell>
          <cell r="E314" t="str">
            <v>平米</v>
          </cell>
          <cell r="F314" t="str">
            <v>+285</v>
          </cell>
          <cell r="G314" t="str">
            <v>按超高区域吊顶面积计算，在基础收费上加收</v>
          </cell>
          <cell r="H314" t="str">
            <v>吊顶下吊高度1500mm以内，层高超过3.2m部分的额外人工施工费用</v>
          </cell>
          <cell r="I314" t="str">
            <v>CS1805-007</v>
          </cell>
          <cell r="J314" t="str">
            <v>个性</v>
          </cell>
          <cell r="K314" t="str">
            <v>否</v>
          </cell>
        </row>
        <row r="315">
          <cell r="D315" t="str">
            <v>吊顶超高施工费-吊顶下吊高度≤3000mm（层高5米以上）</v>
          </cell>
          <cell r="E315" t="str">
            <v>平米</v>
          </cell>
          <cell r="F315" t="str">
            <v>+535</v>
          </cell>
          <cell r="G315" t="str">
            <v>按超高区域吊顶面积计算，在基础收费上加收</v>
          </cell>
          <cell r="H315" t="str">
            <v>吊顶下吊高度1500mm以内，层高超过3.2m部分的额外人工施工费用</v>
          </cell>
          <cell r="I315" t="str">
            <v>CS1805-008</v>
          </cell>
          <cell r="J315" t="str">
            <v>个性</v>
          </cell>
          <cell r="K315" t="str">
            <v>否</v>
          </cell>
        </row>
        <row r="316">
          <cell r="D316" t="str">
            <v>水电超高施工费-水电改造（层高3.2米以上）</v>
          </cell>
          <cell r="E316" t="str">
            <v>平米</v>
          </cell>
          <cell r="F316">
            <v>39</v>
          </cell>
          <cell r="G316" t="str">
            <v>按超高区域地面面积计算，在基础收费上加收</v>
          </cell>
          <cell r="H316" t="str">
            <v>层高超过3.2m部分的额外人工施工费用</v>
          </cell>
          <cell r="I316" t="str">
            <v>CS1805-009</v>
          </cell>
          <cell r="J316" t="str">
            <v>个性</v>
          </cell>
          <cell r="K316" t="str">
            <v>否</v>
          </cell>
        </row>
        <row r="317">
          <cell r="D317" t="str">
            <v>远程施工费</v>
          </cell>
          <cell r="E317" t="str">
            <v>项</v>
          </cell>
          <cell r="F317">
            <v>7000</v>
          </cell>
          <cell r="G317" t="str">
            <v>按项计算
1.I类区域：
一绕以内(四环)南至二绕以内(五环)区域,不计远程费；
2.II类区域：
一绕以外(四环)南至二绕以外(五环)区域，温江、青白江、龙泉、郫都、新都，7000元/户；
3.III类区域：
二绕以外(五环)，金堂、彭州(三绕内)、崇州、大邑、邛崃、新津，40000元/户，接单面积150平米以上；
4.IV类区域：超远项目
眉山、都江堰、德阳，70000元/户，接单面积200平米以上；
5.V类区域：以上范围外，费用另议。</v>
          </cell>
          <cell r="H317" t="str">
            <v>远程范围：成都市绕城高速(一绕)以外区域，南门延至二绕以外区域</v>
          </cell>
          <cell r="I317" t="str">
            <v>CS1806-001</v>
          </cell>
          <cell r="J317" t="str">
            <v>个性</v>
          </cell>
          <cell r="K317" t="str">
            <v>否</v>
          </cell>
        </row>
        <row r="318">
          <cell r="D318" t="str">
            <v>地新风保护</v>
          </cell>
          <cell r="E318" t="str">
            <v>平米</v>
          </cell>
          <cell r="F318">
            <v>20</v>
          </cell>
          <cell r="G318" t="str">
            <v>按合同面积计算，最低收费3000元/户</v>
          </cell>
          <cell r="H318" t="str">
            <v>地新风保护</v>
          </cell>
          <cell r="I318" t="str">
            <v>CS1807-001</v>
          </cell>
          <cell r="J318" t="str">
            <v>个性</v>
          </cell>
          <cell r="K318" t="str">
            <v>否</v>
          </cell>
        </row>
        <row r="319">
          <cell r="D319" t="str">
            <v>打拆点工</v>
          </cell>
          <cell r="E319" t="str">
            <v>工日</v>
          </cell>
          <cell r="F319">
            <v>300</v>
          </cell>
          <cell r="G319" t="str">
            <v>按工日数计算</v>
          </cell>
          <cell r="H319" t="str">
            <v>只限于无法按计件工程量方式结算工资，如：现场管理、日常保洁、物料搬运、零星打拆、建渣清运、5S维护等</v>
          </cell>
          <cell r="I319" t="str">
            <v>CS1808-002</v>
          </cell>
        </row>
        <row r="319">
          <cell r="K319" t="str">
            <v>否</v>
          </cell>
        </row>
        <row r="320">
          <cell r="D320" t="str">
            <v>零星点工施工</v>
          </cell>
          <cell r="E320" t="str">
            <v>工日</v>
          </cell>
          <cell r="F320">
            <v>400</v>
          </cell>
          <cell r="G320" t="str">
            <v>按工日数计算</v>
          </cell>
          <cell r="H320" t="str">
            <v>只限于无法按计件工程量方式结算工资，如：整改(含拆除)、成品安装、售后维修、软装施工、临时紧急情况突击等</v>
          </cell>
          <cell r="I320" t="str">
            <v>CS1808-001</v>
          </cell>
        </row>
        <row r="320">
          <cell r="K320" t="str">
            <v>否</v>
          </cell>
        </row>
        <row r="321">
          <cell r="D321" t="str">
            <v>主材运输费</v>
          </cell>
          <cell r="E321" t="str">
            <v>平米</v>
          </cell>
          <cell r="F321">
            <v>21</v>
          </cell>
          <cell r="G321" t="str">
            <v>按合同面积计算，指有电梯材料运输搬运，无电梯搬运费用另计</v>
          </cell>
          <cell r="H321" t="str">
            <v>适用范围：仅限有电梯的项目</v>
          </cell>
          <cell r="I321" t="str">
            <v>CS1901-001</v>
          </cell>
          <cell r="J321" t="str">
            <v>主材报价</v>
          </cell>
          <cell r="K321" t="str">
            <v>是</v>
          </cell>
        </row>
        <row r="322">
          <cell r="D322" t="str">
            <v>辅材运输费</v>
          </cell>
          <cell r="E322" t="str">
            <v>平米</v>
          </cell>
          <cell r="F322">
            <v>12</v>
          </cell>
          <cell r="G322" t="str">
            <v>按合同面积计算
无电梯搬运费用另计</v>
          </cell>
          <cell r="H322" t="str">
            <v>适用范围：仅限有电梯的项目</v>
          </cell>
          <cell r="I322" t="str">
            <v>CS2001-001</v>
          </cell>
          <cell r="J322" t="str">
            <v>√</v>
          </cell>
          <cell r="K322" t="str">
            <v>是</v>
          </cell>
        </row>
        <row r="323">
          <cell r="D323" t="str">
            <v>无电梯材料上楼搬运费</v>
          </cell>
          <cell r="E323" t="str">
            <v>平米</v>
          </cell>
          <cell r="F323">
            <v>21</v>
          </cell>
          <cell r="G323" t="str">
            <v>按上楼面积计算
指无电梯搬运
（从起步楼层1楼算起，2、3楼21元/平米，4楼及以上每增加一层加5元/平米/层）</v>
          </cell>
          <cell r="H323" t="str">
            <v>适用范围：仅限无电梯项目和户内有楼梯需人工二次搬运的项目</v>
          </cell>
          <cell r="I323" t="str">
            <v>CS2002-001</v>
          </cell>
          <cell r="J323" t="str">
            <v>个性</v>
          </cell>
          <cell r="K323" t="str">
            <v>否</v>
          </cell>
        </row>
        <row r="324">
          <cell r="D324" t="str">
            <v>无电梯楼层材料上楼（辅材）
（4楼及以上）</v>
          </cell>
          <cell r="E324" t="str">
            <v>元/㎡/层</v>
          </cell>
          <cell r="F324">
            <v>5</v>
          </cell>
          <cell r="G324" t="str">
            <v>按上楼面积计算*楼层数计算
（4楼及以上每层加5元/平米）</v>
          </cell>
          <cell r="H324" t="str">
            <v>适用范围：仅限无电梯项目和户内有楼梯需人工二次搬运的项目</v>
          </cell>
          <cell r="I324" t="str">
            <v>CS2002-002</v>
          </cell>
          <cell r="J324" t="str">
            <v>个性</v>
          </cell>
          <cell r="K324" t="str">
            <v>否</v>
          </cell>
        </row>
        <row r="325">
          <cell r="D325" t="str">
            <v>材料二次运输费
（非专车派送费）</v>
          </cell>
          <cell r="E325" t="str">
            <v>次</v>
          </cell>
          <cell r="F325">
            <v>200</v>
          </cell>
          <cell r="G325" t="str">
            <v>按单边次数计算，主要指因变更需要的退补料运输，非专车配送，若需专车配送则费用另计（瓷砖40平米以内，超出则按专车计算）
不含无电梯的上楼费</v>
          </cell>
          <cell r="H325" t="str">
            <v>因客户需求(变更)需单独退补材料的</v>
          </cell>
          <cell r="I325" t="str">
            <v>CS2003-001</v>
          </cell>
        </row>
        <row r="325">
          <cell r="K325" t="str">
            <v>否</v>
          </cell>
        </row>
        <row r="327">
          <cell r="D327" t="str">
            <v>项目管理费</v>
          </cell>
          <cell r="E327" t="str">
            <v>项</v>
          </cell>
          <cell r="F327">
            <v>0.08</v>
          </cell>
          <cell r="G327" t="str">
            <v>按合同总价计算</v>
          </cell>
          <cell r="H327" t="str">
            <v>项目施工管理及协调配合服务费</v>
          </cell>
          <cell r="I327" t="str">
            <v>CS2101-001</v>
          </cell>
          <cell r="J327">
            <v>0.1</v>
          </cell>
          <cell r="K327" t="str">
            <v>否</v>
          </cell>
        </row>
        <row r="328">
          <cell r="D328" t="str">
            <v>A流程管理费</v>
          </cell>
          <cell r="E328" t="str">
            <v>项</v>
          </cell>
          <cell r="F328">
            <v>0</v>
          </cell>
          <cell r="G328" t="str">
            <v>1.平层：600元/户
2.复式：1200元/户
3.别墅：1800元/户</v>
          </cell>
          <cell r="H328" t="str">
            <v>适用于需要走A流程的项目，包含但不限于开工前提前做成品保护、打拆、新建、搭建等施工配合及验收工作</v>
          </cell>
          <cell r="I328" t="str">
            <v>CS2102-001</v>
          </cell>
        </row>
        <row r="328">
          <cell r="K328" t="str">
            <v>是</v>
          </cell>
        </row>
        <row r="330">
          <cell r="D330" t="str">
            <v>套餐外露台施工（地面）</v>
          </cell>
          <cell r="E330" t="str">
            <v>平米</v>
          </cell>
          <cell r="F330" t="str">
            <v>按套餐标准报</v>
          </cell>
        </row>
        <row r="330">
          <cell r="I330" t="str">
            <v>CS2201-001</v>
          </cell>
        </row>
        <row r="330">
          <cell r="K330" t="str">
            <v>否</v>
          </cell>
        </row>
        <row r="331">
          <cell r="D331" t="str">
            <v>套餐外露台施工（地面+墙面漆）</v>
          </cell>
          <cell r="E331" t="str">
            <v>平米</v>
          </cell>
          <cell r="F331" t="str">
            <v>按套餐标准报</v>
          </cell>
        </row>
        <row r="331">
          <cell r="I331" t="str">
            <v>CS2201-002</v>
          </cell>
        </row>
        <row r="331">
          <cell r="K331" t="str">
            <v>否</v>
          </cell>
        </row>
        <row r="332">
          <cell r="D332" t="str">
            <v>套餐外露台施工（地面+墙面砖）</v>
          </cell>
          <cell r="E332" t="str">
            <v>平米</v>
          </cell>
          <cell r="F332" t="str">
            <v>按套餐标准报</v>
          </cell>
        </row>
        <row r="332">
          <cell r="I332" t="str">
            <v>CS2201-003</v>
          </cell>
        </row>
        <row r="332">
          <cell r="K332" t="str">
            <v>否</v>
          </cell>
        </row>
        <row r="333">
          <cell r="D333" t="str">
            <v>地下室（储物型）</v>
          </cell>
          <cell r="E333" t="str">
            <v>平米</v>
          </cell>
          <cell r="F333" t="str">
            <v>按套餐标准报</v>
          </cell>
        </row>
        <row r="333">
          <cell r="I333" t="str">
            <v>CS2202-001</v>
          </cell>
        </row>
        <row r="333">
          <cell r="K333" t="str">
            <v>否</v>
          </cell>
        </row>
        <row r="334">
          <cell r="D334" t="str">
            <v>厨房/卫生间空间置换</v>
          </cell>
          <cell r="E334" t="str">
            <v>个</v>
          </cell>
          <cell r="F334">
            <v>1580</v>
          </cell>
          <cell r="G334" t="str">
            <v>按厨房/卫生间个数计算</v>
          </cell>
          <cell r="H334" t="str">
            <v>将生活阳台改造成厨卫空间，包含新增开孔、排水管施工等</v>
          </cell>
          <cell r="I334" t="str">
            <v>CS2203-001</v>
          </cell>
        </row>
        <row r="334">
          <cell r="K334" t="str">
            <v>否</v>
          </cell>
        </row>
        <row r="335">
          <cell r="D335" t="str">
            <v>新增厨房/卫生间空间</v>
          </cell>
          <cell r="E335" t="str">
            <v>个</v>
          </cell>
          <cell r="F335">
            <v>3980</v>
          </cell>
          <cell r="G335" t="str">
            <v>按厨房/卫生间个数计算</v>
          </cell>
          <cell r="H335" t="str">
            <v>将非厨卫的区域改造成厨卫空间，包含新增开孔、排水管施工等</v>
          </cell>
          <cell r="I335" t="str">
            <v>CS2203-001</v>
          </cell>
        </row>
        <row r="335">
          <cell r="K335" t="str">
            <v>否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6"/>
  <sheetViews>
    <sheetView topLeftCell="A66" workbookViewId="0">
      <selection activeCell="A1" sqref="A1:N66"/>
    </sheetView>
  </sheetViews>
  <sheetFormatPr defaultColWidth="8.725" defaultRowHeight="16.5"/>
  <cols>
    <col min="1" max="1" width="8.725" style="25"/>
    <col min="2" max="2" width="15.275" style="25" customWidth="1"/>
    <col min="3" max="3" width="15.5416666666667" style="25" customWidth="1"/>
    <col min="4" max="4" width="17.5416666666667" style="25" customWidth="1"/>
    <col min="5" max="5" width="17.275" style="25" customWidth="1"/>
    <col min="6" max="6" width="30.4583333333333" style="25" customWidth="1"/>
    <col min="7" max="7" width="20.725" style="25" customWidth="1"/>
    <col min="8" max="13" width="8.725" style="25"/>
    <col min="14" max="14" width="9.90833333333333" style="25"/>
  </cols>
  <sheetData>
    <row r="1" ht="39" customHeight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t="33" spans="1:14">
      <c r="A2" s="26" t="s">
        <v>1</v>
      </c>
      <c r="B2" s="27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9" t="s">
        <v>7</v>
      </c>
      <c r="H2" s="28" t="s">
        <v>8</v>
      </c>
      <c r="I2" s="28" t="s">
        <v>9</v>
      </c>
      <c r="J2" s="28" t="s">
        <v>10</v>
      </c>
      <c r="K2" s="79" t="s">
        <v>11</v>
      </c>
      <c r="L2" s="28" t="s">
        <v>12</v>
      </c>
      <c r="M2" s="28" t="s">
        <v>13</v>
      </c>
      <c r="N2" s="80" t="s">
        <v>14</v>
      </c>
    </row>
    <row r="3" spans="1:14">
      <c r="A3" s="30" t="s">
        <v>15</v>
      </c>
      <c r="B3" s="31" t="s">
        <v>16</v>
      </c>
      <c r="C3" s="32"/>
      <c r="D3" s="32" t="s">
        <v>17</v>
      </c>
      <c r="E3" s="33"/>
      <c r="F3" s="34"/>
      <c r="G3" s="33"/>
      <c r="H3" s="32"/>
      <c r="I3" s="32"/>
      <c r="J3" s="32"/>
      <c r="K3" s="32"/>
      <c r="L3" s="32"/>
      <c r="M3" s="32"/>
      <c r="N3" s="81">
        <f>SUM(N4:N20)</f>
        <v>0</v>
      </c>
    </row>
    <row r="4" ht="51" customHeight="1" spans="1:14">
      <c r="A4" s="35">
        <v>1</v>
      </c>
      <c r="B4" s="36" t="s">
        <v>18</v>
      </c>
      <c r="C4" s="37" t="s">
        <v>16</v>
      </c>
      <c r="D4" s="38" t="s">
        <v>19</v>
      </c>
      <c r="E4" s="39" t="s">
        <v>20</v>
      </c>
      <c r="F4" s="39" t="str">
        <f>VLOOKUP($E4,[2]收费标准!$D:$K,5,0)</f>
        <v>拆除120墙体</v>
      </c>
      <c r="G4" s="39" t="str">
        <f>VLOOKUP($E4,[2]收费标准!$D:$K,4,0)</f>
        <v>按拆除面积计算，厚度超出部分按比例折算</v>
      </c>
      <c r="H4" s="40" t="str">
        <f>VLOOKUP($E4,[2]收费标准!$D:$K,2,0)</f>
        <v>平米</v>
      </c>
      <c r="I4" s="82"/>
      <c r="J4" s="83"/>
      <c r="K4" s="84"/>
      <c r="L4" s="85"/>
      <c r="M4" s="85"/>
      <c r="N4" s="86">
        <f>IFERROR(预算工程量*综合单价,"")</f>
        <v>0</v>
      </c>
    </row>
    <row r="5" ht="35" customHeight="1" spans="1:14">
      <c r="A5" s="35">
        <v>2</v>
      </c>
      <c r="B5" s="36" t="s">
        <v>18</v>
      </c>
      <c r="C5" s="37" t="s">
        <v>16</v>
      </c>
      <c r="D5" s="38" t="s">
        <v>19</v>
      </c>
      <c r="E5" s="39" t="s">
        <v>21</v>
      </c>
      <c r="F5" s="39" t="str">
        <f>VLOOKUP($E5,[2]收费标准!$D:$K,5,0)</f>
        <v>拆除240墙体</v>
      </c>
      <c r="G5" s="39" t="str">
        <f>VLOOKUP($E5,[2]收费标准!$D:$K,4,0)</f>
        <v>按拆除面积计算，厚度超出部分按比例折算</v>
      </c>
      <c r="H5" s="40" t="str">
        <f>VLOOKUP($E5,[2]收费标准!$D:$K,2,0)</f>
        <v>平米</v>
      </c>
      <c r="I5" s="82"/>
      <c r="J5" s="83"/>
      <c r="K5" s="84"/>
      <c r="L5" s="85"/>
      <c r="M5" s="85"/>
      <c r="N5" s="86">
        <f>IFERROR(预算工程量*综合单价,"")</f>
        <v>0</v>
      </c>
    </row>
    <row r="6" ht="26" customHeight="1" spans="1:14">
      <c r="A6" s="35">
        <v>3</v>
      </c>
      <c r="B6" s="36" t="s">
        <v>18</v>
      </c>
      <c r="C6" s="37" t="s">
        <v>16</v>
      </c>
      <c r="D6" s="38" t="s">
        <v>19</v>
      </c>
      <c r="E6" s="39" t="s">
        <v>22</v>
      </c>
      <c r="F6" s="39" t="str">
        <f>VLOOKUP($E6,[2]收费标准!$D:$K,5,0)</f>
        <v>拆除外墙砖</v>
      </c>
      <c r="G6" s="39" t="str">
        <f>VLOOKUP($E6,[2]收费标准!$D:$K,4,0)</f>
        <v>按拆除面积计算</v>
      </c>
      <c r="H6" s="40" t="str">
        <f>VLOOKUP($E6,[2]收费标准!$D:$K,2,0)</f>
        <v>平米</v>
      </c>
      <c r="I6" s="82"/>
      <c r="J6" s="83"/>
      <c r="K6" s="84"/>
      <c r="L6" s="85"/>
      <c r="M6" s="85"/>
      <c r="N6" s="86">
        <f>IFERROR(预算工程量*综合单价,"")</f>
        <v>0</v>
      </c>
    </row>
    <row r="7" ht="66" spans="1:14">
      <c r="A7" s="35">
        <v>4</v>
      </c>
      <c r="B7" s="41" t="s">
        <v>23</v>
      </c>
      <c r="C7" s="37" t="s">
        <v>16</v>
      </c>
      <c r="D7" s="38" t="s">
        <v>19</v>
      </c>
      <c r="E7" s="39" t="s">
        <v>24</v>
      </c>
      <c r="F7" s="39" t="str">
        <f>VLOOKUP($E7,[2]收费标准!$D:$K,5,0)</f>
        <v>拆除保温层或外墙漆</v>
      </c>
      <c r="G7" s="39" t="str">
        <f>VLOOKUP($E7,[2]收费标准!$D:$K,4,0)</f>
        <v>按拆除面积计算
适用于常规保温层拆除，若有钢丝网则按60元/平米计费</v>
      </c>
      <c r="H7" s="40" t="str">
        <f>VLOOKUP($E7,[2]收费标准!$D:$K,2,0)</f>
        <v>平米</v>
      </c>
      <c r="I7" s="82"/>
      <c r="J7" s="83"/>
      <c r="K7" s="84"/>
      <c r="L7" s="85"/>
      <c r="M7" s="85"/>
      <c r="N7" s="86">
        <f>IFERROR(预算工程量*综合单价,"")</f>
        <v>0</v>
      </c>
    </row>
    <row r="8" ht="123" customHeight="1" spans="1:14">
      <c r="A8" s="35">
        <v>5</v>
      </c>
      <c r="B8" s="36" t="s">
        <v>18</v>
      </c>
      <c r="C8" s="37" t="s">
        <v>16</v>
      </c>
      <c r="D8" s="38" t="s">
        <v>19</v>
      </c>
      <c r="E8" s="39" t="s">
        <v>25</v>
      </c>
      <c r="F8" s="39" t="str">
        <f>VLOOKUP($E8,[2]收费标准!$D:$K,5,0)</f>
        <v>拆除混凝土墙或飘窗台，需客户签署免责协议，并需客户取得物业的签字同意</v>
      </c>
      <c r="G8" s="39" t="str">
        <f>VLOOKUP($E8,[2]收费标准!$D:$K,4,0)</f>
        <v>按拆除面积计算，飘窗台按展开面积计算
砖砌体按230元/平计算，混凝土飘窗按400元/平计算，不足1平米按1平米计算</v>
      </c>
      <c r="H8" s="40" t="str">
        <f>VLOOKUP($E8,[2]收费标准!$D:$K,2,0)</f>
        <v>平米</v>
      </c>
      <c r="I8" s="82"/>
      <c r="J8" s="83"/>
      <c r="K8" s="84"/>
      <c r="L8" s="85"/>
      <c r="M8" s="85"/>
      <c r="N8" s="86"/>
    </row>
    <row r="9" ht="88" customHeight="1" spans="1:14">
      <c r="A9" s="35">
        <v>6</v>
      </c>
      <c r="B9" s="36" t="s">
        <v>18</v>
      </c>
      <c r="C9" s="37" t="s">
        <v>16</v>
      </c>
      <c r="D9" s="38" t="s">
        <v>19</v>
      </c>
      <c r="E9" s="39" t="s">
        <v>26</v>
      </c>
      <c r="F9" s="39" t="str">
        <f>VLOOKUP($E9,[2]收费标准!$D:$K,5,0)</f>
        <v>拆除钢筋混凝土地梁、二次结构的构造柱等（不包含主体结构、承重结构、外立面结构）</v>
      </c>
      <c r="G9" s="39" t="str">
        <f>VLOOKUP($E9,[2]收费标准!$D:$K,4,0)</f>
        <v>3米以内按根数计算,超出3米的部分按100元/米计费</v>
      </c>
      <c r="H9" s="40" t="str">
        <f>VLOOKUP($E9,[2]收费标准!$D:$K,2,0)</f>
        <v>根</v>
      </c>
      <c r="I9" s="82"/>
      <c r="J9" s="83"/>
      <c r="K9" s="84"/>
      <c r="L9" s="85"/>
      <c r="M9" s="85"/>
      <c r="N9" s="86"/>
    </row>
    <row r="10" spans="1:14">
      <c r="A10" s="35">
        <v>7</v>
      </c>
      <c r="B10" s="36" t="s">
        <v>18</v>
      </c>
      <c r="C10" s="37" t="s">
        <v>16</v>
      </c>
      <c r="D10" s="38" t="s">
        <v>19</v>
      </c>
      <c r="E10" s="39" t="s">
        <v>27</v>
      </c>
      <c r="F10" s="39" t="str">
        <f>VLOOKUP($E10,[2]收费标准!$D:$K,5,0)</f>
        <v>包含室外/室内楼梯拆除、现场清理</v>
      </c>
      <c r="G10" s="39" t="str">
        <f>VLOOKUP($E10,[2]收费标准!$D:$K,4,0)</f>
        <v>按踏步数计算</v>
      </c>
      <c r="H10" s="40" t="str">
        <f>VLOOKUP($E10,[2]收费标准!$D:$K,2,0)</f>
        <v>步</v>
      </c>
      <c r="I10" s="82"/>
      <c r="J10" s="83"/>
      <c r="K10" s="84"/>
      <c r="L10" s="85"/>
      <c r="M10" s="85"/>
      <c r="N10" s="86"/>
    </row>
    <row r="11" ht="118" customHeight="1" spans="1:14">
      <c r="A11" s="35">
        <v>8</v>
      </c>
      <c r="B11" s="36" t="s">
        <v>18</v>
      </c>
      <c r="C11" s="37" t="s">
        <v>16</v>
      </c>
      <c r="D11" s="38" t="s">
        <v>19</v>
      </c>
      <c r="E11" s="39" t="s">
        <v>28</v>
      </c>
      <c r="F11" s="39" t="str">
        <f>VLOOKUP($E11,[2]收费标准!$D:$K,5,0)</f>
        <v>拆除门、门套及门套基层，拆除防护栏杆</v>
      </c>
      <c r="G11" s="39" t="str">
        <f>VLOOKUP($E11,[2]收费标准!$D:$K,4,0)</f>
        <v>1.按拆除门窗扇的个数计算
2.栏杆2米以内，超出按30元/米计费
3.客户不要的工人自行处理，不予收费</v>
      </c>
      <c r="H11" s="40" t="s">
        <v>29</v>
      </c>
      <c r="I11" s="82"/>
      <c r="J11" s="83"/>
      <c r="K11" s="84"/>
      <c r="L11" s="85"/>
      <c r="M11" s="85"/>
      <c r="N11" s="86"/>
    </row>
    <row r="12" ht="54" customHeight="1" spans="1:14">
      <c r="A12" s="35">
        <v>9</v>
      </c>
      <c r="B12" s="41" t="s">
        <v>23</v>
      </c>
      <c r="C12" s="37" t="s">
        <v>16</v>
      </c>
      <c r="D12" s="38" t="s">
        <v>30</v>
      </c>
      <c r="E12" s="39" t="s">
        <v>31</v>
      </c>
      <c r="F12" s="39" t="str">
        <f>VLOOKUP($E12,[2]收费标准!$D:$K,5,0)</f>
        <v>空鼓拆除及修复处理等</v>
      </c>
      <c r="G12" s="39" t="str">
        <f>VLOOKUP($E12,[2]收费标准!$D:$K,4,0)</f>
        <v>单处空鼓面积小于1㎡按1㎡计算，大于1㎡按实际面积计算</v>
      </c>
      <c r="H12" s="40" t="str">
        <f>VLOOKUP($E12,[2]收费标准!$D:$K,2,0)</f>
        <v>平米</v>
      </c>
      <c r="I12" s="82"/>
      <c r="J12" s="83"/>
      <c r="K12" s="84"/>
      <c r="L12" s="85"/>
      <c r="M12" s="85"/>
      <c r="N12" s="86"/>
    </row>
    <row r="13" ht="70" customHeight="1" spans="1:14">
      <c r="A13" s="35">
        <v>10</v>
      </c>
      <c r="B13" s="36" t="s">
        <v>18</v>
      </c>
      <c r="C13" s="37" t="s">
        <v>16</v>
      </c>
      <c r="D13" s="38" t="s">
        <v>30</v>
      </c>
      <c r="E13" s="39" t="s">
        <v>32</v>
      </c>
      <c r="F13" s="39" t="str">
        <f>VLOOKUP($E13,[2]收费标准!$D:$K,5,0)</f>
        <v>包含铲墙皮、植筋、墙体砌筑、新旧墙体交接处挂网、墙面抹灰</v>
      </c>
      <c r="G13" s="39" t="str">
        <f>VLOOKUP($E13,[2]收费标准!$D:$K,4,0)</f>
        <v>按新建面积计算
主要用于厨卫及生活阳台以外的非承重区域</v>
      </c>
      <c r="H13" s="40" t="str">
        <f>VLOOKUP($E13,[2]收费标准!$D:$K,2,0)</f>
        <v>平米</v>
      </c>
      <c r="I13" s="82"/>
      <c r="J13" s="83"/>
      <c r="K13" s="84"/>
      <c r="L13" s="85"/>
      <c r="M13" s="85"/>
      <c r="N13" s="86"/>
    </row>
    <row r="14" customFormat="1" ht="63" customHeight="1" spans="1:14">
      <c r="A14" s="35">
        <v>11</v>
      </c>
      <c r="B14" s="36" t="s">
        <v>18</v>
      </c>
      <c r="C14" s="37" t="s">
        <v>16</v>
      </c>
      <c r="D14" s="38" t="s">
        <v>30</v>
      </c>
      <c r="E14" s="39" t="s">
        <v>33</v>
      </c>
      <c r="F14" s="39" t="str">
        <f>VLOOKUP($E14,[2]收费标准!$D:$K,5,0)</f>
        <v>包含铲墙皮、植筋、墙体砌筑、新旧墙体交接处挂网、墙面抹灰</v>
      </c>
      <c r="G14" s="39" t="str">
        <f>VLOOKUP($E14,[2]收费标准!$D:$K,4,0)</f>
        <v>按新建面积计算
主要用于厨卫及生活阳台以外的非承重区域</v>
      </c>
      <c r="H14" s="40" t="str">
        <f>VLOOKUP($E14,[2]收费标准!$D:$K,2,0)</f>
        <v>平米</v>
      </c>
      <c r="I14" s="82"/>
      <c r="J14" s="83"/>
      <c r="K14" s="84"/>
      <c r="L14" s="85"/>
      <c r="M14" s="85"/>
      <c r="N14" s="86"/>
    </row>
    <row r="15" ht="65" customHeight="1" spans="1:14">
      <c r="A15" s="35">
        <v>12</v>
      </c>
      <c r="B15" s="36" t="s">
        <v>18</v>
      </c>
      <c r="C15" s="37" t="s">
        <v>16</v>
      </c>
      <c r="D15" s="38" t="s">
        <v>30</v>
      </c>
      <c r="E15" s="39" t="s">
        <v>34</v>
      </c>
      <c r="F15" s="39" t="str">
        <f>VLOOKUP($E15,[2]收费标准!$D:$K,5,0)</f>
        <v>水泥砂浆抹灰修补，适用于打拆后的门窗洞修补，不含过梁</v>
      </c>
      <c r="G15" s="39" t="str">
        <f>VLOOKUP($E15,[2]收费标准!$D:$K,4,0)</f>
        <v>按个数计算</v>
      </c>
      <c r="H15" s="40" t="str">
        <f>VLOOKUP($E15,[2]收费标准!$D:$K,2,0)</f>
        <v>个</v>
      </c>
      <c r="I15" s="82"/>
      <c r="J15" s="83"/>
      <c r="K15" s="84"/>
      <c r="L15" s="85"/>
      <c r="M15" s="85"/>
      <c r="N15" s="86"/>
    </row>
    <row r="16" ht="68" customHeight="1" spans="1:14">
      <c r="A16" s="35">
        <v>5</v>
      </c>
      <c r="B16" s="41" t="s">
        <v>35</v>
      </c>
      <c r="C16" s="37" t="s">
        <v>36</v>
      </c>
      <c r="D16" s="37" t="s">
        <v>30</v>
      </c>
      <c r="E16" s="39" t="s">
        <v>37</v>
      </c>
      <c r="F16" s="39"/>
      <c r="G16" s="39" t="s">
        <v>38</v>
      </c>
      <c r="H16" s="40" t="s">
        <v>39</v>
      </c>
      <c r="I16" s="82"/>
      <c r="J16" s="83"/>
      <c r="K16" s="84"/>
      <c r="L16" s="85"/>
      <c r="M16" s="85"/>
      <c r="N16" s="86"/>
    </row>
    <row r="17" ht="61" customHeight="1" spans="1:14">
      <c r="A17" s="35">
        <v>6</v>
      </c>
      <c r="B17" s="41" t="s">
        <v>40</v>
      </c>
      <c r="C17" s="37" t="s">
        <v>16</v>
      </c>
      <c r="D17" s="38" t="s">
        <v>30</v>
      </c>
      <c r="E17" s="39" t="s">
        <v>41</v>
      </c>
      <c r="F17" s="39" t="str">
        <f>VLOOKUP($E17,[2]收费标准!$D:$K,5,0)</f>
        <v>门洞宽900mm以内</v>
      </c>
      <c r="G17" s="39" t="str">
        <f>VLOOKUP($E17,[2]收费标准!$D:$K,4,0)</f>
        <v>按根数计算，墙厚140mm以内的墙使用1根，墙厚&gt;140mm的墙使用2根</v>
      </c>
      <c r="H17" s="40" t="str">
        <f>VLOOKUP($E17,[2]收费标准!$D:$K,2,0)</f>
        <v>根</v>
      </c>
      <c r="I17" s="82"/>
      <c r="J17" s="83"/>
      <c r="K17" s="84"/>
      <c r="L17" s="85"/>
      <c r="M17" s="85"/>
      <c r="N17" s="86"/>
    </row>
    <row r="18" ht="49.5" spans="1:14">
      <c r="A18" s="35">
        <v>7</v>
      </c>
      <c r="B18" s="36" t="s">
        <v>42</v>
      </c>
      <c r="C18" s="37" t="s">
        <v>16</v>
      </c>
      <c r="D18" s="38" t="s">
        <v>30</v>
      </c>
      <c r="E18" s="39" t="s">
        <v>43</v>
      </c>
      <c r="F18" s="39" t="str">
        <f>VLOOKUP($E18,[2]收费标准!$D:$K,5,0)</f>
        <v>墙面防水、瓷砖胶薄贴法施工，含瓷砖加工、缝隙清理、瓷砖面清理、阳角保护等</v>
      </c>
      <c r="G18" s="39" t="str">
        <f>VLOOKUP($E18,[2]收费标准!$D:$K,4,0)</f>
        <v>按壁龛格数计算，超出300mm*300mm以外的部分按198元/10cm计算</v>
      </c>
      <c r="H18" s="40" t="str">
        <f>VLOOKUP($E18,[2]收费标准!$D:$K,2,0)</f>
        <v>格</v>
      </c>
      <c r="I18" s="82"/>
      <c r="J18" s="83"/>
      <c r="K18" s="84"/>
      <c r="L18" s="85"/>
      <c r="M18" s="85"/>
      <c r="N18" s="86">
        <f>IFERROR('[2]02-个性需求报价明细'!预算工程量*综合单价,"")</f>
        <v>0</v>
      </c>
    </row>
    <row r="19" ht="33" spans="1:14">
      <c r="A19" s="35">
        <v>8</v>
      </c>
      <c r="B19" s="41" t="s">
        <v>44</v>
      </c>
      <c r="C19" s="37" t="s">
        <v>16</v>
      </c>
      <c r="D19" s="38" t="s">
        <v>45</v>
      </c>
      <c r="E19" s="39" t="s">
        <v>46</v>
      </c>
      <c r="F19" s="39" t="str">
        <f>VLOOKUP($E19,[2]收费标准!$D:$K,5,0)</f>
        <v>陶粒回填找平</v>
      </c>
      <c r="G19" s="39" t="str">
        <f>VLOOKUP($E19,[2]收费标准!$D:$K,4,0)</f>
        <v>按回填区域面积计算</v>
      </c>
      <c r="H19" s="40" t="str">
        <f>VLOOKUP($E19,[2]收费标准!$D:$K,2,0)</f>
        <v>平米</v>
      </c>
      <c r="I19" s="82"/>
      <c r="J19" s="83"/>
      <c r="K19" s="84"/>
      <c r="L19" s="85"/>
      <c r="M19" s="85"/>
      <c r="N19" s="86">
        <f>IFERROR(预算工程量*综合单价,"")</f>
        <v>0</v>
      </c>
    </row>
    <row r="20" s="24" customFormat="1" ht="33" spans="1:14">
      <c r="A20" s="42">
        <v>8</v>
      </c>
      <c r="B20" s="41" t="s">
        <v>23</v>
      </c>
      <c r="C20" s="38" t="s">
        <v>16</v>
      </c>
      <c r="D20" s="38" t="s">
        <v>45</v>
      </c>
      <c r="E20" s="39" t="s">
        <v>47</v>
      </c>
      <c r="F20" s="39" t="str">
        <f>VLOOKUP($E20,[2]收费标准!$D:$K,5,0)</f>
        <v>地暖施工前地面水泥河沙找平处理</v>
      </c>
      <c r="G20" s="39" t="str">
        <f>VLOOKUP($E20,[2]收费标准!$D:$K,4,0)</f>
        <v>按施工面积计算</v>
      </c>
      <c r="H20" s="40" t="str">
        <f>VLOOKUP($E20,[2]收费标准!$D:$K,2,0)</f>
        <v>平米</v>
      </c>
      <c r="I20" s="87"/>
      <c r="J20" s="88"/>
      <c r="K20" s="89"/>
      <c r="L20" s="85"/>
      <c r="M20" s="85"/>
      <c r="N20" s="90"/>
    </row>
    <row r="21" spans="1:14">
      <c r="A21" s="30" t="s">
        <v>48</v>
      </c>
      <c r="B21" s="31" t="s">
        <v>49</v>
      </c>
      <c r="C21" s="32"/>
      <c r="D21" s="32"/>
      <c r="E21" s="33"/>
      <c r="F21" s="43"/>
      <c r="G21" s="43"/>
      <c r="H21" s="32"/>
      <c r="I21" s="32"/>
      <c r="J21" s="32"/>
      <c r="K21" s="32"/>
      <c r="L21" s="32"/>
      <c r="M21" s="32"/>
      <c r="N21" s="81">
        <f>N24</f>
        <v>0</v>
      </c>
    </row>
    <row r="22" spans="1:14">
      <c r="A22" s="44" t="s">
        <v>50</v>
      </c>
      <c r="B22" s="45" t="s">
        <v>51</v>
      </c>
      <c r="C22" s="46"/>
      <c r="D22" s="46"/>
      <c r="E22" s="47"/>
      <c r="F22" s="48"/>
      <c r="G22" s="48"/>
      <c r="H22" s="46"/>
      <c r="I22" s="46"/>
      <c r="J22" s="46"/>
      <c r="K22" s="46"/>
      <c r="L22" s="46"/>
      <c r="M22" s="46"/>
      <c r="N22" s="91">
        <f>SUM(N23:N23)</f>
        <v>0</v>
      </c>
    </row>
    <row r="23" spans="1:14">
      <c r="A23" s="49">
        <v>2.1</v>
      </c>
      <c r="B23" s="50"/>
      <c r="C23" s="37" t="s">
        <v>52</v>
      </c>
      <c r="D23" s="37" t="s">
        <v>53</v>
      </c>
      <c r="E23" s="41"/>
      <c r="F23" s="41"/>
      <c r="G23" s="39" t="s">
        <v>38</v>
      </c>
      <c r="H23" s="40" t="s">
        <v>39</v>
      </c>
      <c r="I23" s="82"/>
      <c r="J23" s="82"/>
      <c r="K23" s="82"/>
      <c r="L23" s="85"/>
      <c r="M23" s="85"/>
      <c r="N23" s="86">
        <f>IFERROR(预算工程量*综合单价,"")</f>
        <v>0</v>
      </c>
    </row>
    <row r="24" spans="1:14">
      <c r="A24" s="44" t="s">
        <v>54</v>
      </c>
      <c r="B24" s="45" t="s">
        <v>55</v>
      </c>
      <c r="C24" s="46"/>
      <c r="D24" s="46"/>
      <c r="E24" s="47"/>
      <c r="F24" s="48"/>
      <c r="G24" s="48"/>
      <c r="H24" s="46"/>
      <c r="I24" s="46"/>
      <c r="J24" s="46"/>
      <c r="K24" s="46"/>
      <c r="L24" s="46"/>
      <c r="M24" s="46"/>
      <c r="N24" s="91">
        <f>SUM(N25:N26)</f>
        <v>0</v>
      </c>
    </row>
    <row r="25" spans="1:14">
      <c r="A25" s="51">
        <v>1.1</v>
      </c>
      <c r="B25" s="52" t="s">
        <v>56</v>
      </c>
      <c r="C25" s="37" t="s">
        <v>52</v>
      </c>
      <c r="D25" s="37" t="s">
        <v>57</v>
      </c>
      <c r="E25" s="41"/>
      <c r="F25" s="41"/>
      <c r="G25" s="39" t="s">
        <v>38</v>
      </c>
      <c r="H25" s="40" t="s">
        <v>39</v>
      </c>
      <c r="I25" s="82"/>
      <c r="J25" s="82"/>
      <c r="K25" s="82"/>
      <c r="L25" s="85"/>
      <c r="M25" s="85"/>
      <c r="N25" s="86"/>
    </row>
    <row r="26" spans="1:14">
      <c r="A26" s="51">
        <v>1.2</v>
      </c>
      <c r="B26" s="52" t="s">
        <v>58</v>
      </c>
      <c r="C26" s="37" t="s">
        <v>52</v>
      </c>
      <c r="D26" s="37" t="s">
        <v>57</v>
      </c>
      <c r="E26" s="41"/>
      <c r="F26" s="41"/>
      <c r="G26" s="39" t="s">
        <v>38</v>
      </c>
      <c r="H26" s="40" t="s">
        <v>39</v>
      </c>
      <c r="I26" s="82"/>
      <c r="J26" s="82"/>
      <c r="K26" s="82"/>
      <c r="L26" s="85"/>
      <c r="M26" s="85"/>
      <c r="N26" s="86"/>
    </row>
    <row r="27" spans="1:14">
      <c r="A27" s="30" t="s">
        <v>59</v>
      </c>
      <c r="B27" s="53" t="s">
        <v>60</v>
      </c>
      <c r="C27" s="32"/>
      <c r="D27" s="32"/>
      <c r="E27" s="33"/>
      <c r="F27" s="43"/>
      <c r="G27" s="43"/>
      <c r="H27" s="32"/>
      <c r="I27" s="32"/>
      <c r="J27" s="32"/>
      <c r="K27" s="32"/>
      <c r="L27" s="32"/>
      <c r="M27" s="32"/>
      <c r="N27" s="81"/>
    </row>
    <row r="28" ht="26" customHeight="1" spans="1:14">
      <c r="A28" s="35">
        <v>1</v>
      </c>
      <c r="B28" s="54" t="s">
        <v>61</v>
      </c>
      <c r="C28" s="55"/>
      <c r="D28" s="37" t="s">
        <v>36</v>
      </c>
      <c r="E28" s="39"/>
      <c r="F28" s="56"/>
      <c r="G28" s="39" t="s">
        <v>62</v>
      </c>
      <c r="H28" s="40" t="s">
        <v>39</v>
      </c>
      <c r="I28" s="82"/>
      <c r="J28" s="92"/>
      <c r="K28" s="93"/>
      <c r="L28" s="94"/>
      <c r="M28" s="85"/>
      <c r="N28" s="86"/>
    </row>
    <row r="29" customFormat="1" ht="26" customHeight="1" spans="1:14">
      <c r="A29" s="35">
        <v>2</v>
      </c>
      <c r="B29" s="54" t="s">
        <v>63</v>
      </c>
      <c r="C29" s="55"/>
      <c r="D29" s="37" t="s">
        <v>36</v>
      </c>
      <c r="E29" s="39"/>
      <c r="F29" s="56"/>
      <c r="G29" s="39" t="s">
        <v>62</v>
      </c>
      <c r="H29" s="40" t="s">
        <v>39</v>
      </c>
      <c r="I29" s="82"/>
      <c r="J29" s="92"/>
      <c r="K29" s="93"/>
      <c r="L29" s="94"/>
      <c r="M29" s="85"/>
      <c r="N29" s="86"/>
    </row>
    <row r="30" spans="1:14">
      <c r="A30" s="30" t="s">
        <v>64</v>
      </c>
      <c r="B30" s="31" t="s">
        <v>65</v>
      </c>
      <c r="C30" s="32"/>
      <c r="D30" s="32"/>
      <c r="E30" s="33"/>
      <c r="F30" s="43"/>
      <c r="G30" s="43"/>
      <c r="H30" s="32"/>
      <c r="I30" s="32"/>
      <c r="J30" s="32"/>
      <c r="K30" s="32"/>
      <c r="L30" s="32"/>
      <c r="M30" s="32"/>
      <c r="N30" s="81">
        <f>SUM(N31,N39,N43,N45,N47,)</f>
        <v>0</v>
      </c>
    </row>
    <row r="31" spans="1:14">
      <c r="A31" s="57" t="s">
        <v>54</v>
      </c>
      <c r="B31" s="58" t="s">
        <v>66</v>
      </c>
      <c r="C31" s="59"/>
      <c r="D31" s="59"/>
      <c r="E31" s="60"/>
      <c r="F31" s="61"/>
      <c r="G31" s="61"/>
      <c r="H31" s="59"/>
      <c r="I31" s="59"/>
      <c r="J31" s="59"/>
      <c r="K31" s="59"/>
      <c r="L31" s="59"/>
      <c r="M31" s="59"/>
      <c r="N31" s="95">
        <f>SUM(N32:N37)</f>
        <v>0</v>
      </c>
    </row>
    <row r="32" ht="89" customHeight="1" spans="1:14">
      <c r="A32" s="49">
        <v>1.1</v>
      </c>
      <c r="B32" s="36" t="s">
        <v>18</v>
      </c>
      <c r="C32" s="37" t="s">
        <v>66</v>
      </c>
      <c r="D32" s="37" t="s">
        <v>67</v>
      </c>
      <c r="E32" s="39" t="s">
        <v>68</v>
      </c>
      <c r="F32" s="39" t="str">
        <f>VLOOKUP($E32,[2]收费标准!$D:$K,5,0)</f>
        <v>包含打眼、吊筋、主副龙骨、单层石膏板安装、转角加固等</v>
      </c>
      <c r="G32" s="39" t="str">
        <f>VLOOKUP($E32,[2]收费标准!$D:$K,4,0)</f>
        <v>按展开面积计算</v>
      </c>
      <c r="H32" s="40" t="str">
        <f>VLOOKUP($E32,[2]收费标准!$D:$K,2,0)</f>
        <v>平米</v>
      </c>
      <c r="I32" s="82"/>
      <c r="J32" s="83"/>
      <c r="K32" s="84"/>
      <c r="L32" s="85"/>
      <c r="M32" s="85"/>
      <c r="N32" s="86"/>
    </row>
    <row r="33" ht="32" customHeight="1" spans="1:14">
      <c r="A33" s="49">
        <v>1.2</v>
      </c>
      <c r="B33" s="36" t="s">
        <v>18</v>
      </c>
      <c r="C33" s="37" t="s">
        <v>66</v>
      </c>
      <c r="D33" s="37" t="s">
        <v>67</v>
      </c>
      <c r="E33" s="39" t="s">
        <v>69</v>
      </c>
      <c r="F33" s="39" t="str">
        <f>VLOOKUP($E33,[2]收费标准!$D:$K,5,0)</f>
        <v>包含灯槽制作安装、基层加固等</v>
      </c>
      <c r="G33" s="39" t="str">
        <f>VLOOKUP($E33,[2]收费标准!$D:$K,4,0)</f>
        <v>按延长米计算</v>
      </c>
      <c r="H33" s="40" t="str">
        <f>VLOOKUP($E33,[2]收费标准!$D:$K,2,0)</f>
        <v>米</v>
      </c>
      <c r="I33" s="82"/>
      <c r="J33" s="83"/>
      <c r="K33" s="84"/>
      <c r="L33" s="85"/>
      <c r="M33" s="85"/>
      <c r="N33" s="86"/>
    </row>
    <row r="34" ht="82.5" spans="1:14">
      <c r="A34" s="49">
        <v>1.3</v>
      </c>
      <c r="B34" s="41" t="s">
        <v>18</v>
      </c>
      <c r="C34" s="37" t="s">
        <v>66</v>
      </c>
      <c r="D34" s="37" t="s">
        <v>67</v>
      </c>
      <c r="E34" s="39" t="s">
        <v>70</v>
      </c>
      <c r="F34" s="39" t="str">
        <f>VLOOKUP($E34,[2]收费标准!$D:$K,5,0)</f>
        <v>吊顶一圈、边顶或灯槽反边的眉线制作安装双层石膏板（吊顶单算，这个只是眉线）</v>
      </c>
      <c r="G34" s="39" t="str">
        <f>VLOOKUP($E34,[2]收费标准!$D:$K,4,0)</f>
        <v>按延长米计算
（宽度20mm以内，高度200mm以内，超出费用另计。高度每增加100mm增加15元/米）</v>
      </c>
      <c r="H34" s="40" t="str">
        <f>VLOOKUP($E34,[2]收费标准!$D:$K,2,0)</f>
        <v>米</v>
      </c>
      <c r="I34" s="82"/>
      <c r="J34" s="83"/>
      <c r="K34" s="84"/>
      <c r="L34" s="85"/>
      <c r="M34" s="85"/>
      <c r="N34" s="86"/>
    </row>
    <row r="35" spans="1:14">
      <c r="A35" s="49">
        <v>1.4</v>
      </c>
      <c r="B35" s="41" t="s">
        <v>18</v>
      </c>
      <c r="C35" s="37" t="s">
        <v>66</v>
      </c>
      <c r="D35" s="37" t="s">
        <v>67</v>
      </c>
      <c r="E35" s="39" t="s">
        <v>71</v>
      </c>
      <c r="F35" s="39" t="str">
        <f>VLOOKUP($E35,[2]收费标准!$D:$K,5,0)</f>
        <v>包含窗帘盒制作安装、基层加固等</v>
      </c>
      <c r="G35" s="39" t="str">
        <f>VLOOKUP($E35,[2]收费标准!$D:$K,4,0)</f>
        <v>按延长米计算</v>
      </c>
      <c r="H35" s="40" t="str">
        <f>VLOOKUP($E35,[2]收费标准!$D:$K,2,0)</f>
        <v>米</v>
      </c>
      <c r="I35" s="82"/>
      <c r="J35" s="83"/>
      <c r="K35" s="84"/>
      <c r="L35" s="85"/>
      <c r="M35" s="85"/>
      <c r="N35" s="86"/>
    </row>
    <row r="36" ht="19" customHeight="1" spans="1:14">
      <c r="A36" s="49">
        <v>1.5</v>
      </c>
      <c r="B36" s="36" t="s">
        <v>18</v>
      </c>
      <c r="C36" s="37" t="s">
        <v>66</v>
      </c>
      <c r="D36" s="37" t="s">
        <v>67</v>
      </c>
      <c r="E36" s="62" t="s">
        <v>72</v>
      </c>
      <c r="F36" s="62" t="s">
        <v>73</v>
      </c>
      <c r="G36" s="63"/>
      <c r="H36" s="40" t="s">
        <v>74</v>
      </c>
      <c r="I36" s="82"/>
      <c r="J36" s="83"/>
      <c r="K36" s="84"/>
      <c r="L36" s="85"/>
      <c r="M36" s="85"/>
      <c r="N36" s="86"/>
    </row>
    <row r="37" ht="49.5" spans="1:14">
      <c r="A37" s="49">
        <v>1.5</v>
      </c>
      <c r="B37" s="36" t="s">
        <v>18</v>
      </c>
      <c r="C37" s="37" t="s">
        <v>66</v>
      </c>
      <c r="D37" s="37" t="s">
        <v>67</v>
      </c>
      <c r="E37" s="64" t="s">
        <v>75</v>
      </c>
      <c r="F37" s="39" t="str">
        <f>VLOOKUP($E37,[2]收费标准!$D:$K,5,0)</f>
        <v>包含放线、定位、开孔及加固处理等</v>
      </c>
      <c r="G37" s="39" t="str">
        <f>VLOOKUP($E37,[2]收费标准!$D:$K,4,0)</f>
        <v>按个数计算
风口长度超出1米的按50元/米计算</v>
      </c>
      <c r="H37" s="40" t="s">
        <v>29</v>
      </c>
      <c r="I37" s="82"/>
      <c r="J37" s="83"/>
      <c r="K37" s="84"/>
      <c r="L37" s="85"/>
      <c r="M37" s="85"/>
      <c r="N37" s="86"/>
    </row>
    <row r="38" spans="1:14">
      <c r="A38" s="51"/>
      <c r="B38" s="65" t="s">
        <v>76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96"/>
    </row>
    <row r="39" spans="1:14">
      <c r="A39" s="57" t="s">
        <v>50</v>
      </c>
      <c r="B39" s="58" t="s">
        <v>77</v>
      </c>
      <c r="C39" s="59"/>
      <c r="D39" s="59"/>
      <c r="E39" s="60"/>
      <c r="F39" s="61"/>
      <c r="G39" s="61"/>
      <c r="H39" s="59"/>
      <c r="I39" s="59"/>
      <c r="J39" s="59"/>
      <c r="K39" s="59"/>
      <c r="L39" s="59"/>
      <c r="M39" s="59"/>
      <c r="N39" s="95">
        <f>SUM(N40:N42)</f>
        <v>0</v>
      </c>
    </row>
    <row r="40" spans="1:14">
      <c r="A40" s="67">
        <v>2.1</v>
      </c>
      <c r="B40" s="68" t="s">
        <v>18</v>
      </c>
      <c r="C40" s="69"/>
      <c r="D40" s="70" t="s">
        <v>78</v>
      </c>
      <c r="E40" s="71" t="s">
        <v>79</v>
      </c>
      <c r="F40" s="72"/>
      <c r="G40" s="39"/>
      <c r="H40" s="40" t="s">
        <v>39</v>
      </c>
      <c r="I40" s="97"/>
      <c r="J40" s="98"/>
      <c r="K40" s="99"/>
      <c r="L40" s="100"/>
      <c r="M40" s="100"/>
      <c r="N40" s="101"/>
    </row>
    <row r="41" spans="1:14">
      <c r="A41" s="73"/>
      <c r="B41" s="74"/>
      <c r="C41" s="75"/>
      <c r="D41" s="76"/>
      <c r="E41" s="71" t="s">
        <v>80</v>
      </c>
      <c r="F41" s="72"/>
      <c r="G41" s="39"/>
      <c r="H41" s="40" t="s">
        <v>39</v>
      </c>
      <c r="I41" s="102"/>
      <c r="J41" s="102"/>
      <c r="K41" s="102"/>
      <c r="L41" s="102"/>
      <c r="M41" s="85"/>
      <c r="N41" s="101"/>
    </row>
    <row r="42" spans="1:14">
      <c r="A42" s="73"/>
      <c r="B42" s="74"/>
      <c r="C42" s="75"/>
      <c r="D42" s="76"/>
      <c r="E42" s="71" t="s">
        <v>81</v>
      </c>
      <c r="F42" s="39" t="s">
        <v>82</v>
      </c>
      <c r="G42" s="39"/>
      <c r="H42" s="40" t="s">
        <v>39</v>
      </c>
      <c r="I42" s="102"/>
      <c r="J42" s="83"/>
      <c r="K42" s="84"/>
      <c r="L42" s="85"/>
      <c r="M42" s="85"/>
      <c r="N42" s="101"/>
    </row>
    <row r="43" spans="1:14">
      <c r="A43" s="57" t="s">
        <v>83</v>
      </c>
      <c r="B43" s="58" t="s">
        <v>84</v>
      </c>
      <c r="C43" s="59"/>
      <c r="D43" s="59"/>
      <c r="E43" s="60"/>
      <c r="F43" s="61"/>
      <c r="G43" s="61"/>
      <c r="H43" s="59"/>
      <c r="I43" s="59"/>
      <c r="J43" s="59"/>
      <c r="K43" s="59"/>
      <c r="L43" s="59"/>
      <c r="M43" s="59"/>
      <c r="N43" s="95"/>
    </row>
    <row r="44" spans="1:14">
      <c r="A44" s="51"/>
      <c r="B44" s="41"/>
      <c r="C44" s="37"/>
      <c r="D44" s="40"/>
      <c r="E44" s="40"/>
      <c r="F44" s="39"/>
      <c r="G44" s="39"/>
      <c r="H44" s="40"/>
      <c r="I44" s="102"/>
      <c r="J44" s="83"/>
      <c r="K44" s="84"/>
      <c r="L44" s="85"/>
      <c r="M44" s="85"/>
      <c r="N44" s="103"/>
    </row>
    <row r="45" spans="1:14">
      <c r="A45" s="57" t="s">
        <v>85</v>
      </c>
      <c r="B45" s="58" t="s">
        <v>86</v>
      </c>
      <c r="C45" s="59"/>
      <c r="D45" s="59"/>
      <c r="E45" s="60"/>
      <c r="F45" s="61"/>
      <c r="G45" s="61"/>
      <c r="H45" s="59"/>
      <c r="I45" s="59"/>
      <c r="J45" s="59"/>
      <c r="K45" s="59"/>
      <c r="L45" s="59"/>
      <c r="M45" s="59"/>
      <c r="N45" s="95">
        <f>SUM(N46)</f>
        <v>0</v>
      </c>
    </row>
    <row r="46" spans="1:14">
      <c r="A46" s="51"/>
      <c r="B46" s="36"/>
      <c r="C46" s="37"/>
      <c r="D46" s="37"/>
      <c r="E46" s="39"/>
      <c r="F46" s="39"/>
      <c r="G46" s="39"/>
      <c r="H46" s="40"/>
      <c r="I46" s="82"/>
      <c r="J46" s="83"/>
      <c r="K46" s="84"/>
      <c r="L46" s="85"/>
      <c r="M46" s="85"/>
      <c r="N46" s="86"/>
    </row>
    <row r="47" spans="1:14">
      <c r="A47" s="57" t="s">
        <v>87</v>
      </c>
      <c r="B47" s="58" t="s">
        <v>88</v>
      </c>
      <c r="C47" s="59"/>
      <c r="D47" s="59"/>
      <c r="E47" s="60"/>
      <c r="F47" s="61"/>
      <c r="G47" s="61"/>
      <c r="H47" s="59"/>
      <c r="I47" s="59"/>
      <c r="J47" s="59"/>
      <c r="K47" s="59"/>
      <c r="L47" s="59"/>
      <c r="M47" s="59"/>
      <c r="N47" s="95">
        <f>SUM(N48)</f>
        <v>0</v>
      </c>
    </row>
    <row r="48" spans="1:14">
      <c r="A48" s="51"/>
      <c r="B48" s="36"/>
      <c r="C48" s="37"/>
      <c r="D48" s="77"/>
      <c r="E48" s="37"/>
      <c r="F48" s="39"/>
      <c r="G48" s="39"/>
      <c r="H48" s="40"/>
      <c r="I48" s="82"/>
      <c r="J48" s="83"/>
      <c r="K48" s="84"/>
      <c r="L48" s="85"/>
      <c r="M48" s="85"/>
      <c r="N48" s="86"/>
    </row>
    <row r="49" spans="1:14">
      <c r="A49" s="30" t="s">
        <v>89</v>
      </c>
      <c r="B49" s="31" t="s">
        <v>90</v>
      </c>
      <c r="C49" s="32"/>
      <c r="D49" s="32"/>
      <c r="E49" s="33"/>
      <c r="F49" s="43"/>
      <c r="G49" s="43"/>
      <c r="H49" s="32"/>
      <c r="I49" s="32"/>
      <c r="J49" s="32"/>
      <c r="K49" s="32"/>
      <c r="L49" s="32"/>
      <c r="M49" s="32"/>
      <c r="N49" s="81">
        <f>SUM(N50:N66)</f>
        <v>0</v>
      </c>
    </row>
    <row r="50" ht="49.5" spans="1:14">
      <c r="A50" s="35">
        <v>1</v>
      </c>
      <c r="B50" s="41" t="s">
        <v>23</v>
      </c>
      <c r="C50" s="37" t="s">
        <v>90</v>
      </c>
      <c r="D50" s="38" t="s">
        <v>91</v>
      </c>
      <c r="E50" s="39" t="s">
        <v>92</v>
      </c>
      <c r="F50" s="39" t="str">
        <f>VLOOKUP($E50,[2]收费标准!$D:$K,5,0)</f>
        <v>适用范围：仅限小区内无建渣池客户要求我方外运建渣的项目</v>
      </c>
      <c r="G50" s="39" t="str">
        <f>VLOOKUP($E50,[2]收费标准!$D:$K,4,0)</f>
        <v>按车计算
100平米以内4车，每50平米一个阶梯增加1车。</v>
      </c>
      <c r="H50" s="40" t="str">
        <f>VLOOKUP($E50,[2]收费标准!$D:$K,2,0)</f>
        <v>车</v>
      </c>
      <c r="I50" s="82"/>
      <c r="J50" s="83"/>
      <c r="K50" s="84"/>
      <c r="L50" s="85"/>
      <c r="M50" s="85"/>
      <c r="N50" s="86">
        <f>IFERROR(预算工程量*综合单价,"")</f>
        <v>0</v>
      </c>
    </row>
    <row r="51" ht="110" customHeight="1" spans="1:14">
      <c r="A51" s="35">
        <v>2</v>
      </c>
      <c r="B51" s="41" t="s">
        <v>23</v>
      </c>
      <c r="C51" s="37" t="s">
        <v>90</v>
      </c>
      <c r="D51" s="38" t="s">
        <v>91</v>
      </c>
      <c r="E51" s="39" t="s">
        <v>93</v>
      </c>
      <c r="F51" s="39" t="str">
        <f>VLOOKUP($E51,[2]收费标准!$D:$K,5,0)</f>
        <v>适用范围：
1）建渣池不在小区内的；
2）无法直接用小推车需要从地下室转运建渣至地面的；
3）小区内无建渣池需要转运至小区外物业制定地点的。</v>
      </c>
      <c r="G51" s="39" t="str">
        <f>VLOOKUP($E51,[2]收费标准!$D:$K,4,0)</f>
        <v>按车计算
100平米以内4车，每50平米一个阶梯增加1车。</v>
      </c>
      <c r="H51" s="40" t="str">
        <f>VLOOKUP($E51,[2]收费标准!$D:$K,2,0)</f>
        <v>车</v>
      </c>
      <c r="I51" s="82"/>
      <c r="J51" s="83"/>
      <c r="K51" s="84"/>
      <c r="L51" s="85"/>
      <c r="M51" s="85"/>
      <c r="N51" s="86">
        <f>IFERROR(预算工程量*综合单价,"")</f>
        <v>0</v>
      </c>
    </row>
    <row r="52" ht="36" customHeight="1" spans="1:14">
      <c r="A52" s="35">
        <v>3</v>
      </c>
      <c r="B52" s="36" t="s">
        <v>18</v>
      </c>
      <c r="C52" s="37" t="s">
        <v>90</v>
      </c>
      <c r="D52" s="38" t="s">
        <v>91</v>
      </c>
      <c r="E52" s="39" t="s">
        <v>94</v>
      </c>
      <c r="F52" s="39" t="str">
        <f>VLOOKUP($E52,[2]收费标准!$D:$K,5,0)</f>
        <v>适用范围：仅限物业要求需要定时清理建渣到小区内建渣池的项目</v>
      </c>
      <c r="G52" s="39" t="str">
        <f>VLOOKUP($E52,[2]收费标准!$D:$K,4,0)</f>
        <v>按合同面积计算，最低收费1000元/户</v>
      </c>
      <c r="H52" s="40" t="str">
        <f>VLOOKUP($E52,[2]收费标准!$D:$K,2,0)</f>
        <v>平米</v>
      </c>
      <c r="I52" s="82"/>
      <c r="J52" s="83"/>
      <c r="K52" s="84"/>
      <c r="L52" s="85"/>
      <c r="M52" s="85"/>
      <c r="N52" s="86">
        <f>IFERROR(IF(预算工程量*综合单价&lt;=0,0,IF(预算工程量*综合单价&gt;1000,预算工程量*综合单价,1000)),"")</f>
        <v>0</v>
      </c>
    </row>
    <row r="53" ht="66" spans="1:14">
      <c r="A53" s="35">
        <v>4</v>
      </c>
      <c r="B53" s="36" t="s">
        <v>18</v>
      </c>
      <c r="C53" s="37" t="s">
        <v>90</v>
      </c>
      <c r="D53" s="38" t="s">
        <v>95</v>
      </c>
      <c r="E53" s="39" t="s">
        <v>96</v>
      </c>
      <c r="F53" s="39" t="str">
        <f>VLOOKUP($E53,[2]收费标准!$D:$K,5,0)</f>
        <v>仅包含建渣装袋人工搬运至物业指定的小区内建渣池，台阶&gt;3级的需计算费用</v>
      </c>
      <c r="G53" s="39" t="str">
        <f>VLOOKUP($E53,[2]收费标准!$D:$K,4,0)</f>
        <v>按楼层面积计算
从起步楼层1楼算起，2楼6元/平米，3、4楼12元/平米，5楼及以上18元/平米</v>
      </c>
      <c r="H53" s="40" t="str">
        <f>VLOOKUP($E53,[2]收费标准!$D:$K,2,0)</f>
        <v>元/㎡/层</v>
      </c>
      <c r="I53" s="82"/>
      <c r="J53" s="83"/>
      <c r="K53" s="84"/>
      <c r="L53" s="85"/>
      <c r="M53" s="85"/>
      <c r="N53" s="86">
        <f>IFERROR(IF(预算工程量*综合单价&lt;=0,0,IF(预算工程量*综合单价&gt;300,预算工程量*综合单价,300)),"")</f>
        <v>0</v>
      </c>
    </row>
    <row r="54" ht="96" customHeight="1" spans="1:14">
      <c r="A54" s="35">
        <v>5</v>
      </c>
      <c r="B54" s="36" t="s">
        <v>18</v>
      </c>
      <c r="C54" s="37" t="s">
        <v>90</v>
      </c>
      <c r="D54" s="38" t="s">
        <v>95</v>
      </c>
      <c r="E54" s="39" t="s">
        <v>97</v>
      </c>
      <c r="F54" s="39" t="str">
        <f>VLOOKUP($E54,[2]收费标准!$D:$K,5,0)</f>
        <v>适用范围：仅限无电梯项目和户内有楼梯需人工二次搬运的项目</v>
      </c>
      <c r="G54" s="39" t="str">
        <f>VLOOKUP($E54,[2]收费标准!$D:$K,4,0)</f>
        <v>按上楼面积计算
指无电梯搬运
（从起步楼层1楼算起，2、3楼21元/平米，4楼及以上每增加一层加5元/平米/层）</v>
      </c>
      <c r="H54" s="40" t="str">
        <f>VLOOKUP($E54,[2]收费标准!$D:$K,2,0)</f>
        <v>平米</v>
      </c>
      <c r="I54" s="82"/>
      <c r="J54" s="83"/>
      <c r="K54" s="84"/>
      <c r="L54" s="85"/>
      <c r="M54" s="85"/>
      <c r="N54" s="86">
        <f>IFERROR(IF(预算工程量*综合单价&lt;=0,0,IF(预算工程量*综合单价&gt;300,预算工程量*综合单价,300)),"")</f>
        <v>0</v>
      </c>
    </row>
    <row r="55" ht="66" spans="1:14">
      <c r="A55" s="35">
        <v>3</v>
      </c>
      <c r="B55" s="36" t="s">
        <v>18</v>
      </c>
      <c r="C55" s="37" t="s">
        <v>90</v>
      </c>
      <c r="D55" s="38" t="s">
        <v>95</v>
      </c>
      <c r="E55" s="39" t="s">
        <v>98</v>
      </c>
      <c r="F55" s="39" t="str">
        <f>VLOOKUP($E55,[2]收费标准!$D:$K,5,0)</f>
        <v>1.适用范围：跃层、复式结构或别墅等无室内楼梯的户型；
2.搭建方式：木板或钢架楼梯框架+踏板。</v>
      </c>
      <c r="G55" s="39" t="str">
        <f>VLOOKUP($E55,[2]收费标准!$D:$K,4,0)</f>
        <v>按跨数计算，从一楼到二楼算一跨
两跨及以上，每增加一跨增加2500元</v>
      </c>
      <c r="H55" s="40" t="s">
        <v>99</v>
      </c>
      <c r="I55" s="82"/>
      <c r="J55" s="83"/>
      <c r="K55" s="84"/>
      <c r="L55" s="85"/>
      <c r="M55" s="85"/>
      <c r="N55" s="86">
        <f>IFERROR(预算工程量*综合单价,"")</f>
        <v>0</v>
      </c>
    </row>
    <row r="56" ht="60" customHeight="1" spans="1:14">
      <c r="A56" s="35">
        <v>7</v>
      </c>
      <c r="B56" s="36" t="s">
        <v>18</v>
      </c>
      <c r="C56" s="37" t="s">
        <v>90</v>
      </c>
      <c r="D56" s="38" t="s">
        <v>95</v>
      </c>
      <c r="E56" s="39" t="s">
        <v>100</v>
      </c>
      <c r="F56" s="39" t="str">
        <f>VLOOKUP($E56,[2]收费标准!$D:$K,5,0)</f>
        <v>一般用于别墅无防护结构的楼梯（防护栏焊接高1.3m）</v>
      </c>
      <c r="G56" s="39" t="str">
        <f>VLOOKUP($E56,[2]收费标准!$D:$K,4,0)</f>
        <v>按延长米计算</v>
      </c>
      <c r="H56" s="40" t="str">
        <f>VLOOKUP($E56,[2]收费标准!$D:$K,2,0)</f>
        <v>米</v>
      </c>
      <c r="I56" s="82"/>
      <c r="J56" s="83"/>
      <c r="K56" s="84"/>
      <c r="L56" s="85"/>
      <c r="M56" s="85"/>
      <c r="N56" s="86">
        <f>IFERROR(预算工程量*综合单价,"")</f>
        <v>0</v>
      </c>
    </row>
    <row r="57" ht="33" spans="1:14">
      <c r="A57" s="35">
        <v>8</v>
      </c>
      <c r="B57" s="36" t="s">
        <v>18</v>
      </c>
      <c r="C57" s="37" t="s">
        <v>90</v>
      </c>
      <c r="D57" s="38" t="s">
        <v>101</v>
      </c>
      <c r="E57" s="39" t="s">
        <v>102</v>
      </c>
      <c r="F57" s="39" t="str">
        <f>VLOOKUP($E57,[2]收费标准!$D:$K,5,0)</f>
        <v>地新风保护</v>
      </c>
      <c r="G57" s="39" t="str">
        <f>VLOOKUP($E57,[2]收费标准!$D:$K,4,0)</f>
        <v>按合同面积计算，最低收费3000元/户</v>
      </c>
      <c r="H57" s="40" t="str">
        <f>VLOOKUP($E57,[2]收费标准!$D:$K,2,0)</f>
        <v>平米</v>
      </c>
      <c r="I57" s="82"/>
      <c r="J57" s="83"/>
      <c r="K57" s="84"/>
      <c r="L57" s="85"/>
      <c r="M57" s="85"/>
      <c r="N57" s="86">
        <f>IFERROR(IF(预算工程量*综合单价&lt;=0,0,IF(预算工程量*综合单价&gt;3000,预算工程量*综合单价,3000)),"")</f>
        <v>0</v>
      </c>
    </row>
    <row r="58" ht="68" customHeight="1" spans="1:14">
      <c r="A58" s="35">
        <v>9</v>
      </c>
      <c r="B58" s="36" t="s">
        <v>18</v>
      </c>
      <c r="C58" s="37" t="s">
        <v>90</v>
      </c>
      <c r="D58" s="38" t="s">
        <v>103</v>
      </c>
      <c r="E58" s="39" t="s">
        <v>104</v>
      </c>
      <c r="F58" s="39" t="str">
        <f>VLOOKUP($E58,[2]收费标准!$D:$K,5,0)</f>
        <v>一般用于楼梯间超高施工使用</v>
      </c>
      <c r="G58" s="39" t="str">
        <f>VLOOKUP($E58,[2]收费标准!$D:$K,4,0)</f>
        <v>按施工面积计算
楼梯间转换层需计算整个楼梯间区域</v>
      </c>
      <c r="H58" s="40" t="str">
        <f>VLOOKUP($E58,[2]收费标准!$D:$K,2,0)</f>
        <v>平米</v>
      </c>
      <c r="I58" s="82"/>
      <c r="J58" s="83"/>
      <c r="K58" s="84"/>
      <c r="L58" s="85"/>
      <c r="M58" s="85"/>
      <c r="N58" s="86">
        <f>IFERROR(预算工程量*综合单价,"")</f>
        <v>0</v>
      </c>
    </row>
    <row r="59" ht="313.5" spans="1:14">
      <c r="A59" s="35">
        <v>10</v>
      </c>
      <c r="B59" s="36" t="s">
        <v>18</v>
      </c>
      <c r="C59" s="37" t="s">
        <v>90</v>
      </c>
      <c r="D59" s="38" t="s">
        <v>103</v>
      </c>
      <c r="E59" s="39" t="s">
        <v>105</v>
      </c>
      <c r="F59" s="39" t="str">
        <f>VLOOKUP($E59,[2]收费标准!$D:$K,5,0)</f>
        <v>包含超高区域搭建移动脚手架、水电改造超高施工费、超高施工安全措施费等</v>
      </c>
      <c r="G59" s="39" t="str">
        <f>VLOOKUP($E59,[2]收费标准!$D:$K,4,0)</f>
        <v>按项计算，包含移动脚手架、水电超高施工费、超高施工安全措施费等
1.平层：超高区域面积50平米以内的（局部超高），按2000元/户计算；
2.平层：超高区域面积超过50平米的（局部超高），按3000元/户计算；
3.复式2层：超高区域面积50%以内的（局部超高），按4000元/户计算；
4.别墅3层：超高区域面积50%以内的（局部超过），按6000元/户计算；
备注：全屋超高面积超过50%或超高8米以上的费用另计，满堂红脚手架费用另计。</v>
      </c>
      <c r="H59" s="40" t="str">
        <f>VLOOKUP($E59,[2]收费标准!$D:$K,2,0)</f>
        <v>户</v>
      </c>
      <c r="I59" s="82"/>
      <c r="J59" s="83"/>
      <c r="K59" s="84"/>
      <c r="L59" s="85"/>
      <c r="M59" s="85"/>
      <c r="N59" s="86">
        <f>IFERROR(预算工程量*综合单价,"")</f>
        <v>0</v>
      </c>
    </row>
    <row r="60" ht="97" customHeight="1" spans="1:14">
      <c r="A60" s="35">
        <v>11</v>
      </c>
      <c r="B60" s="36" t="s">
        <v>18</v>
      </c>
      <c r="C60" s="78" t="s">
        <v>90</v>
      </c>
      <c r="D60" s="38" t="s">
        <v>103</v>
      </c>
      <c r="E60" s="39" t="s">
        <v>106</v>
      </c>
      <c r="F60" s="39" t="str">
        <f>VLOOKUP($E60,[2]收费标准!$D:$K,5,0)</f>
        <v>层高超过3.2m部分墙面的施工费，含铲墙、墙固、石膏、腻子、底漆的墙面基层处理的人工及材料</v>
      </c>
      <c r="G60" s="39" t="str">
        <f>VLOOKUP($E60,[2]收费标准!$D:$K,4,0)</f>
        <v>按超高区域墙面面积计算</v>
      </c>
      <c r="H60" s="40" t="str">
        <f>VLOOKUP($E60,[2]收费标准!$D:$K,2,0)</f>
        <v>平米</v>
      </c>
      <c r="I60" s="82"/>
      <c r="J60" s="83"/>
      <c r="K60" s="84"/>
      <c r="L60" s="85"/>
      <c r="M60" s="85"/>
      <c r="N60" s="86">
        <f>IFERROR(预算工程量*综合单价,"")</f>
        <v>0</v>
      </c>
    </row>
    <row r="61" ht="49.5" spans="1:14">
      <c r="A61" s="35">
        <v>12</v>
      </c>
      <c r="B61" s="36" t="s">
        <v>18</v>
      </c>
      <c r="C61" s="78" t="s">
        <v>90</v>
      </c>
      <c r="D61" s="38" t="s">
        <v>103</v>
      </c>
      <c r="E61" s="39" t="s">
        <v>107</v>
      </c>
      <c r="F61" s="39" t="str">
        <f>VLOOKUP($E61,[2]收费标准!$D:$K,5,0)</f>
        <v>层高超过3.2m部分墙面的施工，含艺术漆面漆处理的人工及材料</v>
      </c>
      <c r="G61" s="39" t="str">
        <f>VLOOKUP($E61,[2]收费标准!$D:$K,4,0)</f>
        <v>按超高区域墙面面积计算</v>
      </c>
      <c r="H61" s="40" t="str">
        <f>VLOOKUP($E61,[2]收费标准!$D:$K,2,0)</f>
        <v>平米</v>
      </c>
      <c r="I61" s="82"/>
      <c r="J61" s="83"/>
      <c r="K61" s="84"/>
      <c r="L61" s="85"/>
      <c r="M61" s="85"/>
      <c r="N61" s="86">
        <f>IFERROR(预算工程量*综合单价,"")</f>
        <v>0</v>
      </c>
    </row>
    <row r="62" ht="49.5" spans="1:14">
      <c r="A62" s="35">
        <v>13</v>
      </c>
      <c r="B62" s="36" t="s">
        <v>18</v>
      </c>
      <c r="C62" s="78" t="s">
        <v>90</v>
      </c>
      <c r="D62" s="38" t="s">
        <v>103</v>
      </c>
      <c r="E62" s="39" t="s">
        <v>108</v>
      </c>
      <c r="F62" s="39" t="str">
        <f>VLOOKUP($E62,[2]收费标准!$D:$K,5,0)</f>
        <v>层高超过3.2m部分墙面的施工，含乳胶漆漆面漆处理的人工及材料</v>
      </c>
      <c r="G62" s="39" t="str">
        <f>VLOOKUP($E62,[2]收费标准!$D:$K,4,0)</f>
        <v>按超高区域墙面面积计算</v>
      </c>
      <c r="H62" s="40" t="str">
        <f>VLOOKUP($E62,[2]收费标准!$D:$K,2,0)</f>
        <v>平米</v>
      </c>
      <c r="I62" s="82"/>
      <c r="J62" s="83"/>
      <c r="K62" s="84"/>
      <c r="L62" s="85"/>
      <c r="M62" s="85"/>
      <c r="N62" s="86">
        <f>IFERROR(预算工程量*综合单价,"")</f>
        <v>0</v>
      </c>
    </row>
    <row r="63" ht="33" spans="1:14">
      <c r="A63" s="35">
        <v>14</v>
      </c>
      <c r="B63" s="36" t="s">
        <v>18</v>
      </c>
      <c r="C63" s="78" t="s">
        <v>90</v>
      </c>
      <c r="D63" s="38" t="s">
        <v>103</v>
      </c>
      <c r="E63" s="39" t="s">
        <v>109</v>
      </c>
      <c r="F63" s="39" t="str">
        <f>VLOOKUP($E63,[2]收费标准!$D:$K,5,0)</f>
        <v>层高超过3.2m部分的额外人工施工费用</v>
      </c>
      <c r="G63" s="39" t="str">
        <f>VLOOKUP($E63,[2]收费标准!$D:$K,4,0)</f>
        <v>按超高区域墙面面积计算，在基础收费上加收</v>
      </c>
      <c r="H63" s="40" t="str">
        <f>VLOOKUP($E63,[2]收费标准!$D:$K,2,0)</f>
        <v>平米</v>
      </c>
      <c r="I63" s="82"/>
      <c r="J63" s="83"/>
      <c r="K63" s="84"/>
      <c r="L63" s="85"/>
      <c r="M63" s="85"/>
      <c r="N63" s="86">
        <f>IFERROR(预算工程量*综合单价,"")</f>
        <v>0</v>
      </c>
    </row>
    <row r="64" ht="71" customHeight="1" spans="1:14">
      <c r="A64" s="35">
        <v>15</v>
      </c>
      <c r="B64" s="36" t="s">
        <v>18</v>
      </c>
      <c r="C64" s="78" t="s">
        <v>90</v>
      </c>
      <c r="D64" s="38" t="s">
        <v>103</v>
      </c>
      <c r="E64" s="39" t="s">
        <v>110</v>
      </c>
      <c r="F64" s="39" t="str">
        <f>VLOOKUP($E64,[2]收费标准!$D:$K,5,0)</f>
        <v>吊顶下吊高度500mm以内，层高超过3.2m部分的额外人工施工费用</v>
      </c>
      <c r="G64" s="39" t="str">
        <f>VLOOKUP($E64,[2]收费标准!$D:$K,4,0)</f>
        <v>按超高区域吊顶面积计算，在基础收费上加收</v>
      </c>
      <c r="H64" s="40" t="str">
        <f>VLOOKUP($E64,[2]收费标准!$D:$K,2,0)</f>
        <v>平米</v>
      </c>
      <c r="I64" s="82"/>
      <c r="J64" s="83"/>
      <c r="K64" s="84"/>
      <c r="L64" s="85"/>
      <c r="M64" s="85"/>
      <c r="N64" s="86">
        <f>IFERROR(预算工程量*综合单价,"")</f>
        <v>0</v>
      </c>
    </row>
    <row r="65" ht="346.5" spans="1:14">
      <c r="A65" s="35">
        <v>16</v>
      </c>
      <c r="B65" s="36" t="s">
        <v>18</v>
      </c>
      <c r="C65" s="37" t="s">
        <v>90</v>
      </c>
      <c r="D65" s="38" t="s">
        <v>111</v>
      </c>
      <c r="E65" s="39" t="s">
        <v>112</v>
      </c>
      <c r="F65" s="39" t="str">
        <f>VLOOKUP($E65,[2]收费标准!$D:$K,5,0)</f>
        <v>远程范围：成都市绕城高速(一绕)以外区域，南门延至二绕以外区域</v>
      </c>
      <c r="G65" s="39" t="str">
        <f>VLOOKUP($E65,[2]收费标准!$D:$K,4,0)</f>
        <v>按项计算
1.I类区域：
一绕以内(四环)南至二绕以内(五环)区域,不计远程费；
2.II类区域：
一绕以外(四环)南至二绕以外(五环)区域，温江、青白江、龙泉、郫都、新都，7000元/户；
3.III类区域：
二绕以外(五环)，金堂、彭州(三绕内)、崇州、大邑、邛崃、新津，40000元/户，接单面积150平米以上；
4.IV类区域：超远项目
眉山、都江堰、德阳，70000元/户，接单面积200平米以上；
5.V类区域：以上范围外，费用另议。</v>
      </c>
      <c r="H65" s="40" t="str">
        <f>VLOOKUP($E65,[2]收费标准!$D:$K,2,0)</f>
        <v>项</v>
      </c>
      <c r="I65" s="82"/>
      <c r="J65" s="83"/>
      <c r="K65" s="84"/>
      <c r="L65" s="105"/>
      <c r="M65" s="85"/>
      <c r="N65" s="86">
        <f>IFERROR(预算工程量*综合单价,"")</f>
        <v>0</v>
      </c>
    </row>
    <row r="66" spans="1:14">
      <c r="A66" s="104">
        <v>4</v>
      </c>
      <c r="B66" s="36" t="s">
        <v>113</v>
      </c>
      <c r="C66" s="37" t="s">
        <v>114</v>
      </c>
      <c r="D66" s="37" t="s">
        <v>115</v>
      </c>
      <c r="E66" s="39" t="s">
        <v>116</v>
      </c>
      <c r="F66" s="39" t="str">
        <f>VLOOKUP($E66,[2]收费标准!$D:$K,5,0)</f>
        <v>成品安装</v>
      </c>
      <c r="G66" s="39" t="str">
        <f>VLOOKUP($E66,[2]收费标准!$D:$K,4,0)</f>
        <v>按套数计算</v>
      </c>
      <c r="H66" s="40" t="str">
        <f>VLOOKUP($E66,[2]收费标准!$D:$K,2,0)</f>
        <v>套</v>
      </c>
      <c r="I66" s="82"/>
      <c r="J66" s="83"/>
      <c r="K66" s="84"/>
      <c r="L66" s="85"/>
      <c r="M66" s="85"/>
      <c r="N66" s="106">
        <f>IFERROR(预算工程量*综合单价,"")</f>
        <v>0</v>
      </c>
    </row>
  </sheetData>
  <mergeCells count="5">
    <mergeCell ref="A1:N1"/>
    <mergeCell ref="B38:N38"/>
    <mergeCell ref="A40:A42"/>
    <mergeCell ref="D40:D42"/>
    <mergeCell ref="B40:C42"/>
  </mergeCells>
  <dataValidations count="6">
    <dataValidation type="list" allowBlank="1" showInputMessage="1" showErrorMessage="1" sqref="C16 C48 C66 C28:C29 C32:C38 C40:C42 C44:C46">
      <formula1>$K$2:$N$2</formula1>
    </dataValidation>
    <dataValidation type="list" allowBlank="1" showInputMessage="1" showErrorMessage="1" sqref="E37">
      <formula1>"水泥河沙贴地砖（600*1200砖）,意大利薄贴地砖（600*1200砖）,意大利薄贴地砖（750*1500、800*1600),意大利薄贴地砖（900*1800）"</formula1>
    </dataValidation>
    <dataValidation type="list" allowBlank="1" showInputMessage="1" showErrorMessage="1" sqref="D4:D15 D19:D20 D50:D65">
      <formula1>[2]参数表!#REF!</formula1>
    </dataValidation>
    <dataValidation type="list" allowBlank="1" showInputMessage="1" showErrorMessage="1" sqref="D17:D18">
      <formula1>[1]参数表!#REF!</formula1>
    </dataValidation>
    <dataValidation type="list" allowBlank="1" showInputMessage="1" showErrorMessage="1" sqref="E4:E15 E17:E20 E50:E65">
      <formula1>INDIRECT($D4)</formula1>
    </dataValidation>
    <dataValidation type="list" allowBlank="1" showInputMessage="1" showErrorMessage="1" sqref="E32:E35">
      <formula1>吊顶升级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K5" sqref="K5"/>
    </sheetView>
  </sheetViews>
  <sheetFormatPr defaultColWidth="8.725" defaultRowHeight="16.5" outlineLevelCol="7"/>
  <cols>
    <col min="1" max="1" width="8.725" style="1"/>
    <col min="2" max="2" width="29.9083333333333" style="1" customWidth="1"/>
    <col min="3" max="4" width="8.725" style="1"/>
    <col min="5" max="5" width="11.9083333333333" style="1" customWidth="1"/>
    <col min="6" max="6" width="14.9083333333333" style="1" customWidth="1"/>
    <col min="7" max="7" width="19.725" style="1" customWidth="1"/>
    <col min="8" max="8" width="29.0916666666667" style="1" customWidth="1"/>
  </cols>
  <sheetData>
    <row r="1" ht="40" customHeight="1" spans="1:8">
      <c r="A1" s="2" t="s">
        <v>117</v>
      </c>
      <c r="B1" s="3"/>
      <c r="C1" s="3"/>
      <c r="D1" s="3"/>
      <c r="E1" s="3"/>
      <c r="F1" s="3"/>
      <c r="G1" s="3"/>
      <c r="H1" s="4"/>
    </row>
    <row r="2" ht="36" spans="1:8">
      <c r="A2" s="5" t="s">
        <v>1</v>
      </c>
      <c r="B2" s="6" t="s">
        <v>118</v>
      </c>
      <c r="C2" s="6" t="s">
        <v>119</v>
      </c>
      <c r="D2" s="7" t="s">
        <v>9</v>
      </c>
      <c r="E2" s="7" t="s">
        <v>120</v>
      </c>
      <c r="F2" s="7" t="s">
        <v>121</v>
      </c>
      <c r="G2" s="6" t="s">
        <v>7</v>
      </c>
      <c r="H2" s="8" t="s">
        <v>122</v>
      </c>
    </row>
    <row r="3" ht="23" customHeight="1" spans="1:8">
      <c r="A3" s="9">
        <v>1</v>
      </c>
      <c r="B3" s="10" t="s">
        <v>123</v>
      </c>
      <c r="C3" s="11" t="s">
        <v>74</v>
      </c>
      <c r="D3" s="12"/>
      <c r="E3" s="13"/>
      <c r="F3" s="14"/>
      <c r="G3" s="15" t="s">
        <v>124</v>
      </c>
      <c r="H3" s="16" t="s">
        <v>125</v>
      </c>
    </row>
    <row r="4" ht="23" customHeight="1" spans="1:8">
      <c r="A4" s="9">
        <v>2</v>
      </c>
      <c r="B4" s="17" t="s">
        <v>126</v>
      </c>
      <c r="C4" s="11" t="s">
        <v>74</v>
      </c>
      <c r="D4" s="12"/>
      <c r="E4" s="13"/>
      <c r="F4" s="14"/>
      <c r="G4" s="15" t="s">
        <v>124</v>
      </c>
      <c r="H4" s="16" t="s">
        <v>127</v>
      </c>
    </row>
    <row r="5" ht="34" customHeight="1" spans="1:8">
      <c r="A5" s="9">
        <v>3</v>
      </c>
      <c r="B5" s="17" t="s">
        <v>128</v>
      </c>
      <c r="C5" s="11" t="s">
        <v>74</v>
      </c>
      <c r="D5" s="12"/>
      <c r="E5" s="13"/>
      <c r="F5" s="14"/>
      <c r="G5" s="15" t="s">
        <v>124</v>
      </c>
      <c r="H5" s="16" t="s">
        <v>127</v>
      </c>
    </row>
    <row r="6" ht="33" spans="1:8">
      <c r="A6" s="9">
        <v>4</v>
      </c>
      <c r="B6" s="10" t="s">
        <v>129</v>
      </c>
      <c r="C6" s="11" t="s">
        <v>74</v>
      </c>
      <c r="D6" s="12"/>
      <c r="E6" s="13"/>
      <c r="F6" s="14"/>
      <c r="G6" s="15" t="s">
        <v>130</v>
      </c>
      <c r="H6" s="16" t="s">
        <v>125</v>
      </c>
    </row>
    <row r="7" ht="24" customHeight="1" spans="1:8">
      <c r="A7" s="9">
        <v>5</v>
      </c>
      <c r="B7" s="10" t="s">
        <v>131</v>
      </c>
      <c r="C7" s="11" t="s">
        <v>74</v>
      </c>
      <c r="D7" s="12"/>
      <c r="E7" s="13"/>
      <c r="F7" s="14"/>
      <c r="G7" s="15" t="s">
        <v>132</v>
      </c>
      <c r="H7" s="16" t="s">
        <v>125</v>
      </c>
    </row>
    <row r="8" ht="24" customHeight="1" spans="1:8">
      <c r="A8" s="9">
        <v>6</v>
      </c>
      <c r="B8" s="10" t="s">
        <v>133</v>
      </c>
      <c r="C8" s="11" t="s">
        <v>74</v>
      </c>
      <c r="D8" s="12"/>
      <c r="E8" s="13"/>
      <c r="F8" s="14"/>
      <c r="G8" s="15" t="s">
        <v>132</v>
      </c>
      <c r="H8" s="16" t="s">
        <v>125</v>
      </c>
    </row>
    <row r="9" ht="24" customHeight="1" spans="1:8">
      <c r="A9" s="9">
        <v>7</v>
      </c>
      <c r="B9" s="10" t="s">
        <v>134</v>
      </c>
      <c r="C9" s="11" t="s">
        <v>74</v>
      </c>
      <c r="D9" s="12"/>
      <c r="E9" s="13"/>
      <c r="F9" s="14"/>
      <c r="G9" s="15" t="s">
        <v>124</v>
      </c>
      <c r="H9" s="16" t="s">
        <v>125</v>
      </c>
    </row>
    <row r="10" ht="26" customHeight="1" spans="1:8">
      <c r="A10" s="9">
        <v>8</v>
      </c>
      <c r="B10" s="10" t="s">
        <v>135</v>
      </c>
      <c r="C10" s="11" t="s">
        <v>74</v>
      </c>
      <c r="D10" s="12"/>
      <c r="E10" s="13"/>
      <c r="F10" s="14"/>
      <c r="G10" s="15" t="s">
        <v>132</v>
      </c>
      <c r="H10" s="16" t="s">
        <v>125</v>
      </c>
    </row>
    <row r="11" ht="68" customHeight="1" spans="1:8">
      <c r="A11" s="9">
        <v>9</v>
      </c>
      <c r="B11" s="10" t="s">
        <v>136</v>
      </c>
      <c r="C11" s="11" t="s">
        <v>137</v>
      </c>
      <c r="D11" s="12"/>
      <c r="E11" s="13"/>
      <c r="F11" s="14"/>
      <c r="G11" s="15" t="s">
        <v>138</v>
      </c>
      <c r="H11" s="16" t="s">
        <v>139</v>
      </c>
    </row>
    <row r="12" ht="49.5" spans="1:8">
      <c r="A12" s="9">
        <v>10</v>
      </c>
      <c r="B12" s="10" t="s">
        <v>140</v>
      </c>
      <c r="C12" s="11" t="s">
        <v>137</v>
      </c>
      <c r="D12" s="12"/>
      <c r="E12" s="13"/>
      <c r="F12" s="14">
        <f t="shared" ref="F12:F20" si="0">IFERROR(E12*D12,0)</f>
        <v>0</v>
      </c>
      <c r="G12" s="15" t="s">
        <v>141</v>
      </c>
      <c r="H12" s="16" t="s">
        <v>139</v>
      </c>
    </row>
    <row r="13" ht="68" customHeight="1" spans="1:8">
      <c r="A13" s="9">
        <v>11</v>
      </c>
      <c r="B13" s="10" t="s">
        <v>142</v>
      </c>
      <c r="C13" s="11" t="s">
        <v>137</v>
      </c>
      <c r="D13" s="12"/>
      <c r="E13" s="13"/>
      <c r="F13" s="14">
        <f t="shared" si="0"/>
        <v>0</v>
      </c>
      <c r="G13" s="15" t="s">
        <v>138</v>
      </c>
      <c r="H13" s="16" t="s">
        <v>143</v>
      </c>
    </row>
    <row r="14" ht="33" spans="1:8">
      <c r="A14" s="9">
        <v>12</v>
      </c>
      <c r="B14" s="10" t="s">
        <v>144</v>
      </c>
      <c r="C14" s="11" t="s">
        <v>137</v>
      </c>
      <c r="D14" s="12"/>
      <c r="E14" s="13"/>
      <c r="F14" s="14">
        <f t="shared" si="0"/>
        <v>0</v>
      </c>
      <c r="G14" s="15" t="s">
        <v>138</v>
      </c>
      <c r="H14" s="16" t="s">
        <v>145</v>
      </c>
    </row>
    <row r="15" ht="45" customHeight="1" spans="1:8">
      <c r="A15" s="9">
        <v>13</v>
      </c>
      <c r="B15" s="10" t="s">
        <v>146</v>
      </c>
      <c r="C15" s="11" t="s">
        <v>74</v>
      </c>
      <c r="D15" s="12"/>
      <c r="E15" s="13"/>
      <c r="F15" s="14">
        <f t="shared" si="0"/>
        <v>0</v>
      </c>
      <c r="G15" s="15" t="s">
        <v>147</v>
      </c>
      <c r="H15" s="16" t="s">
        <v>148</v>
      </c>
    </row>
    <row r="16" ht="45" customHeight="1" spans="1:8">
      <c r="A16" s="9">
        <v>14</v>
      </c>
      <c r="B16" s="10" t="s">
        <v>149</v>
      </c>
      <c r="C16" s="11" t="s">
        <v>74</v>
      </c>
      <c r="D16" s="12"/>
      <c r="E16" s="13"/>
      <c r="F16" s="14">
        <f t="shared" si="0"/>
        <v>0</v>
      </c>
      <c r="G16" s="15" t="s">
        <v>150</v>
      </c>
      <c r="H16" s="16" t="s">
        <v>148</v>
      </c>
    </row>
    <row r="17" ht="45" customHeight="1" spans="1:8">
      <c r="A17" s="9">
        <v>15</v>
      </c>
      <c r="B17" s="10" t="s">
        <v>151</v>
      </c>
      <c r="C17" s="11" t="s">
        <v>152</v>
      </c>
      <c r="D17" s="12"/>
      <c r="E17" s="13"/>
      <c r="F17" s="14">
        <f t="shared" si="0"/>
        <v>0</v>
      </c>
      <c r="G17" s="15" t="s">
        <v>153</v>
      </c>
      <c r="H17" s="16" t="s">
        <v>154</v>
      </c>
    </row>
    <row r="18" ht="24" customHeight="1" spans="1:8">
      <c r="A18" s="9">
        <v>16</v>
      </c>
      <c r="B18" s="18" t="s">
        <v>155</v>
      </c>
      <c r="C18" s="19" t="s">
        <v>39</v>
      </c>
      <c r="D18" s="20"/>
      <c r="E18" s="21"/>
      <c r="F18" s="14">
        <f t="shared" si="0"/>
        <v>0</v>
      </c>
      <c r="G18" s="22" t="s">
        <v>156</v>
      </c>
      <c r="H18" s="23" t="s">
        <v>157</v>
      </c>
    </row>
    <row r="19" ht="76" customHeight="1" spans="1:8">
      <c r="A19" s="9">
        <v>17</v>
      </c>
      <c r="B19" s="18" t="s">
        <v>158</v>
      </c>
      <c r="C19" s="19" t="s">
        <v>39</v>
      </c>
      <c r="D19" s="20"/>
      <c r="E19" s="21"/>
      <c r="F19" s="14">
        <f t="shared" si="0"/>
        <v>0</v>
      </c>
      <c r="G19" s="22" t="s">
        <v>159</v>
      </c>
      <c r="H19" s="23" t="s">
        <v>160</v>
      </c>
    </row>
    <row r="20" ht="33" spans="1:8">
      <c r="A20" s="9">
        <v>18</v>
      </c>
      <c r="B20" s="10" t="s">
        <v>161</v>
      </c>
      <c r="C20" s="11" t="s">
        <v>39</v>
      </c>
      <c r="D20" s="12"/>
      <c r="E20" s="13"/>
      <c r="F20" s="14">
        <f t="shared" si="0"/>
        <v>0</v>
      </c>
      <c r="G20" s="15" t="s">
        <v>156</v>
      </c>
      <c r="H20" s="15" t="s">
        <v>162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分项报价表</vt:lpstr>
      <vt:lpstr>水电报价表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2023-08-07T16:05:00Z</dcterms:created>
  <dcterms:modified xsi:type="dcterms:W3CDTF">2025-04-21T06:59:42Z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35B7DF6779AC4CB69297867DD294DBA1_11</vt:lpwstr>
  </property>
  <property fmtid="{D5CDD505-2E9C-101B-9397-08002B2CF9AE}" pid="3" name="KSOProductBuildVer">
    <vt:lpwstr>2052-12.1.0.20305</vt:lpwstr>
  </property>
</Properties>
</file>