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预算记账表（自动计算版）" sheetId="4" r:id="rId1"/>
    <sheet name="预算记账1" sheetId="1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<sst xmlns="http://schemas.openxmlformats.org/spreadsheetml/2006/main" count="662" uniqueCount="226">
  <si>
    <t>装修预算/记账表</t>
  </si>
  <si>
    <t>时间点</t>
  </si>
  <si>
    <t>项目</t>
  </si>
  <si>
    <t>序号</t>
  </si>
  <si>
    <t>材料名称</t>
  </si>
  <si>
    <t>预算</t>
  </si>
  <si>
    <t>采购</t>
  </si>
  <si>
    <t>差额</t>
  </si>
  <si>
    <t>是否采购</t>
  </si>
  <si>
    <t>商品信息</t>
  </si>
  <si>
    <t>备注</t>
  </si>
  <si>
    <t>预购数量</t>
  </si>
  <si>
    <t>预购单价</t>
  </si>
  <si>
    <t>预算金额</t>
  </si>
  <si>
    <t>采购数量</t>
  </si>
  <si>
    <t>采购单价</t>
  </si>
  <si>
    <t>采购金额</t>
  </si>
  <si>
    <t>品牌</t>
  </si>
  <si>
    <t>尺寸/容量</t>
  </si>
  <si>
    <t>渠道</t>
  </si>
  <si>
    <t>经购人</t>
  </si>
  <si>
    <t>人工费</t>
  </si>
  <si>
    <t>设计费</t>
  </si>
  <si>
    <t>硬装设计</t>
  </si>
  <si>
    <t>未购买</t>
  </si>
  <si>
    <t>采购数据分析</t>
  </si>
  <si>
    <t>软装设计</t>
  </si>
  <si>
    <t>柜子设计</t>
  </si>
  <si>
    <t>类型</t>
  </si>
  <si>
    <t>金额</t>
  </si>
  <si>
    <t>灯光设计</t>
  </si>
  <si>
    <t>心里总预算（自己填）</t>
  </si>
  <si>
    <t>基装费用</t>
  </si>
  <si>
    <t>拆除</t>
  </si>
  <si>
    <t>已购买</t>
  </si>
  <si>
    <t>请输入</t>
  </si>
  <si>
    <t>实际预算金额（自动）</t>
  </si>
  <si>
    <t>新建墙体</t>
  </si>
  <si>
    <t>方案调整，石膏板→墙体</t>
  </si>
  <si>
    <t>总预算</t>
  </si>
  <si>
    <t>节省额度（自动）</t>
  </si>
  <si>
    <t>水电</t>
  </si>
  <si>
    <t>是否超支</t>
  </si>
  <si>
    <t>泥工/瓦工</t>
  </si>
  <si>
    <t>木工</t>
  </si>
  <si>
    <t>油工</t>
  </si>
  <si>
    <t>油工（返工）</t>
  </si>
  <si>
    <t>预算金额（自动）</t>
  </si>
  <si>
    <t>安装</t>
  </si>
  <si>
    <t>采购金额（自动）</t>
  </si>
  <si>
    <t>基装其他人工费用</t>
  </si>
  <si>
    <t>垃圾清运费</t>
  </si>
  <si>
    <t>优先咨询物业</t>
  </si>
  <si>
    <t>节省额度</t>
  </si>
  <si>
    <t>打孔</t>
  </si>
  <si>
    <t>燃气/气表改装位移</t>
  </si>
  <si>
    <t>开工前需要确定</t>
  </si>
  <si>
    <t>窗户</t>
  </si>
  <si>
    <t>封窗</t>
  </si>
  <si>
    <t>提前定，制作需20天左右</t>
  </si>
  <si>
    <t>开工红包</t>
  </si>
  <si>
    <t>入户门</t>
  </si>
  <si>
    <t>不建议换</t>
  </si>
  <si>
    <t>未购买预计花费（自动）</t>
  </si>
  <si>
    <t>墙体打拆前</t>
  </si>
  <si>
    <t>防护用品</t>
  </si>
  <si>
    <t>下水管盖帽</t>
  </si>
  <si>
    <t>提前网上买</t>
  </si>
  <si>
    <t>剩余可用预算（自动）</t>
  </si>
  <si>
    <t>简易马桶</t>
  </si>
  <si>
    <t>打扫工具</t>
  </si>
  <si>
    <t>包下水管隔音棉</t>
  </si>
  <si>
    <t>水电改造前</t>
  </si>
  <si>
    <t>预装家电</t>
  </si>
  <si>
    <t>中央空调、风管机、空调</t>
  </si>
  <si>
    <r>
      <rPr>
        <sz val="11"/>
        <color theme="1"/>
        <rFont val="微软雅黑"/>
        <charset val="134"/>
      </rPr>
      <t>确认</t>
    </r>
    <r>
      <rPr>
        <sz val="11"/>
        <color theme="5"/>
        <rFont val="微软雅黑"/>
        <charset val="134"/>
      </rPr>
      <t>安装位置</t>
    </r>
  </si>
  <si>
    <t>新风系统</t>
  </si>
  <si>
    <t>地暖、暖气片</t>
  </si>
  <si>
    <t>嵌入式家电</t>
  </si>
  <si>
    <t>洗碗机</t>
  </si>
  <si>
    <r>
      <rPr>
        <sz val="11"/>
        <color theme="1"/>
        <rFont val="微软雅黑"/>
        <charset val="134"/>
      </rPr>
      <t>定制橱柜前确认</t>
    </r>
    <r>
      <rPr>
        <sz val="11"/>
        <color theme="5"/>
        <rFont val="微软雅黑"/>
        <charset val="134"/>
      </rPr>
      <t>安装尺寸</t>
    </r>
  </si>
  <si>
    <t>烤箱、蒸箱</t>
  </si>
  <si>
    <t>冰箱</t>
  </si>
  <si>
    <t>抽油烟机</t>
  </si>
  <si>
    <t>需要预埋的洁具</t>
  </si>
  <si>
    <t>壁挂马桶</t>
  </si>
  <si>
    <t>入墙龙头</t>
  </si>
  <si>
    <t>嵌入式花洒</t>
  </si>
  <si>
    <t>水电辅材</t>
  </si>
  <si>
    <t>强、弱电箱</t>
  </si>
  <si>
    <t>按水电师傅要求实体店购买</t>
  </si>
  <si>
    <t>电线</t>
  </si>
  <si>
    <t>水管、排污管</t>
  </si>
  <si>
    <t>保温棉</t>
  </si>
  <si>
    <t>定制家具</t>
  </si>
  <si>
    <t>橱柜、衣柜、电视柜</t>
  </si>
  <si>
    <t>确定方案，水电定位</t>
  </si>
  <si>
    <t>电器</t>
  </si>
  <si>
    <t>燃气热水器、电热水器</t>
  </si>
  <si>
    <t>可先确认型号,后购买</t>
  </si>
  <si>
    <t>投影仪、电视机</t>
  </si>
  <si>
    <t>窗帘</t>
  </si>
  <si>
    <t>普通电器</t>
  </si>
  <si>
    <t>洗衣机、烘干机</t>
  </si>
  <si>
    <t>净水器</t>
  </si>
  <si>
    <t>垃圾处理器</t>
  </si>
  <si>
    <t>智能坐便器</t>
  </si>
  <si>
    <t>悬空马桶需提前安装</t>
  </si>
  <si>
    <t>预装五金件</t>
  </si>
  <si>
    <t>地漏、角阀</t>
  </si>
  <si>
    <t>需要前期安装</t>
  </si>
  <si>
    <t>前置过滤器</t>
  </si>
  <si>
    <t>浴缸</t>
  </si>
  <si>
    <t>埋墙花洒、龙头</t>
  </si>
  <si>
    <t>灯具</t>
  </si>
  <si>
    <t>各类灯具</t>
  </si>
  <si>
    <t>确认样式定点位</t>
  </si>
  <si>
    <t>瓦工进场前</t>
  </si>
  <si>
    <t>瓦工辅材</t>
  </si>
  <si>
    <t>水泥</t>
  </si>
  <si>
    <t>建材市场买</t>
  </si>
  <si>
    <t>沙子</t>
  </si>
  <si>
    <t>防水</t>
  </si>
  <si>
    <t>瓷砖</t>
  </si>
  <si>
    <t>墙地瓷砖</t>
  </si>
  <si>
    <t>约定橱柜商家，确定厨房水电的位置，并初量尺寸约窗户商家测量尺寸下单，预留进货时间</t>
  </si>
  <si>
    <t>淋浴房挡水条</t>
  </si>
  <si>
    <t>门槛石</t>
  </si>
  <si>
    <t>地板</t>
  </si>
  <si>
    <t>木地板</t>
  </si>
  <si>
    <t xml:space="preserve">防护 </t>
  </si>
  <si>
    <t>地砖保护膜</t>
  </si>
  <si>
    <t>网上买</t>
  </si>
  <si>
    <t>烟道止逆阀</t>
  </si>
  <si>
    <t>其他</t>
  </si>
  <si>
    <t>美缝</t>
  </si>
  <si>
    <t>木工进场前</t>
  </si>
  <si>
    <t>木工辅材</t>
  </si>
  <si>
    <t>石膏线</t>
  </si>
  <si>
    <t>龙骨</t>
  </si>
  <si>
    <t>板材</t>
  </si>
  <si>
    <t>中央空调出风口</t>
  </si>
  <si>
    <t>吊顶检修口</t>
  </si>
  <si>
    <t>浴室嵌入式浴霸、厨房凉霸</t>
  </si>
  <si>
    <t>油工进场前</t>
  </si>
  <si>
    <t>油工辅材</t>
  </si>
  <si>
    <t>墙地固、腻子、石膏</t>
  </si>
  <si>
    <t>防裂网</t>
  </si>
  <si>
    <t>油漆</t>
  </si>
  <si>
    <t>墙饰</t>
  </si>
  <si>
    <t>油漆、壁纸、墙布</t>
  </si>
  <si>
    <t>可以半包</t>
  </si>
  <si>
    <t>油漆面漆（返工）</t>
  </si>
  <si>
    <t>油漆底漆（返工）</t>
  </si>
  <si>
    <t>辅材（返工）</t>
  </si>
  <si>
    <t>门</t>
  </si>
  <si>
    <t>室内门</t>
  </si>
  <si>
    <t>定制周期约1个月</t>
  </si>
  <si>
    <t>厨房</t>
  </si>
  <si>
    <t>厨房水槽</t>
  </si>
  <si>
    <t>全屋定制</t>
  </si>
  <si>
    <t>厨房门</t>
  </si>
  <si>
    <t>门框改色</t>
  </si>
  <si>
    <t>地面保护膜</t>
  </si>
  <si>
    <t>提前买</t>
  </si>
  <si>
    <t>补漆前</t>
  </si>
  <si>
    <t>洁具</t>
  </si>
  <si>
    <t>坐便器</t>
  </si>
  <si>
    <t>花洒</t>
  </si>
  <si>
    <t>洗脸盆、镜柜</t>
  </si>
  <si>
    <t>淋浴房</t>
  </si>
  <si>
    <t>开关插座</t>
  </si>
  <si>
    <t>开关、插座、Wi-Fi面板</t>
  </si>
  <si>
    <t>入住前</t>
  </si>
  <si>
    <t>成品家具</t>
  </si>
  <si>
    <t>成品沙发</t>
  </si>
  <si>
    <t>含沙发*1+床*2+茶几*1+床垫*2</t>
  </si>
  <si>
    <t>成品床</t>
  </si>
  <si>
    <t>电视柜</t>
  </si>
  <si>
    <t>床垫</t>
  </si>
  <si>
    <t>餐桌</t>
  </si>
  <si>
    <t>慢慢买</t>
  </si>
  <si>
    <t>书柜</t>
  </si>
  <si>
    <t>书桌</t>
  </si>
  <si>
    <t>椅子</t>
  </si>
  <si>
    <t>茶几</t>
  </si>
  <si>
    <t>家电</t>
  </si>
  <si>
    <t>电视机</t>
  </si>
  <si>
    <t>投影仪</t>
  </si>
  <si>
    <t>热水器</t>
  </si>
  <si>
    <t>洗衣机</t>
  </si>
  <si>
    <t>消毒柜</t>
  </si>
  <si>
    <t>油烟机</t>
  </si>
  <si>
    <t>烤箱</t>
  </si>
  <si>
    <t>微波炉</t>
  </si>
  <si>
    <t>吸尘器</t>
  </si>
  <si>
    <t>扫地机器人</t>
  </si>
  <si>
    <t>空气净化器</t>
  </si>
  <si>
    <t>路由器</t>
  </si>
  <si>
    <t>联通配置</t>
  </si>
  <si>
    <t>监控</t>
  </si>
  <si>
    <t>电动窗帘</t>
  </si>
  <si>
    <t>电动晾衣杆</t>
  </si>
  <si>
    <t>软装搭配</t>
  </si>
  <si>
    <t>装饰画</t>
  </si>
  <si>
    <t>入住后慢慢添置</t>
  </si>
  <si>
    <t>床上用品</t>
  </si>
  <si>
    <t>桌布</t>
  </si>
  <si>
    <t>地毯</t>
  </si>
  <si>
    <t>绿植</t>
  </si>
  <si>
    <t>毯子</t>
  </si>
  <si>
    <t>摆件/饰品</t>
  </si>
  <si>
    <t>总计</t>
  </si>
  <si>
    <t>型号</t>
  </si>
  <si>
    <t>链接</t>
  </si>
  <si>
    <t>售后电话</t>
  </si>
  <si>
    <t>质保</t>
  </si>
  <si>
    <t>物业垃圾清运费</t>
  </si>
  <si>
    <r>
      <rPr>
        <sz val="11"/>
        <color theme="1"/>
        <rFont val="汉仪正圆-75W"/>
        <charset val="134"/>
      </rPr>
      <t>确认</t>
    </r>
    <r>
      <rPr>
        <sz val="11"/>
        <color theme="5"/>
        <rFont val="汉仪正圆-75W"/>
        <charset val="134"/>
      </rPr>
      <t>安装位置</t>
    </r>
  </si>
  <si>
    <r>
      <rPr>
        <sz val="11"/>
        <color theme="1"/>
        <rFont val="汉仪正圆-75W"/>
        <charset val="134"/>
      </rPr>
      <t>定制橱柜前确认</t>
    </r>
    <r>
      <rPr>
        <sz val="11"/>
        <color theme="5"/>
        <rFont val="汉仪正圆-75W"/>
        <charset val="134"/>
      </rPr>
      <t>安装尺寸</t>
    </r>
  </si>
  <si>
    <t>集成灶、抽油烟机</t>
  </si>
  <si>
    <t>电线、水管、网线、穿线管</t>
  </si>
  <si>
    <t>智能窗帘</t>
  </si>
  <si>
    <t>提前确定好尺寸</t>
  </si>
  <si>
    <t>烘干机</t>
  </si>
  <si>
    <t>油烟机/集成灶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</si>
</sst>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[Red]\¥\-#,##0.00"/>
  </numFmts>
  <fonts count="49">
    <font>
      <sz val="11"/>
      <color theme="1"/>
      <name val="宋体"/>
      <charset val="134"/>
      <scheme val="minor"/>
    </font>
    <font>
      <sz val="11"/>
      <color theme="1"/>
      <name val="汉仪正圆-75W"/>
      <charset val="134"/>
    </font>
    <font>
      <sz val="11"/>
      <color theme="1"/>
      <name val="汉仪粗圆简"/>
      <charset val="134"/>
    </font>
    <font>
      <sz val="48"/>
      <color theme="1"/>
      <name val="微软雅黑"/>
      <charset val="134"/>
    </font>
    <font>
      <sz val="48"/>
      <color theme="1"/>
      <name val="汉仪粗圆简"/>
      <charset val="134"/>
    </font>
    <font>
      <b/>
      <sz val="20"/>
      <color theme="0"/>
      <name val="汉仪粗圆简"/>
      <charset val="134"/>
    </font>
    <font>
      <b/>
      <sz val="14"/>
      <name val="汉仪粗圆简"/>
      <charset val="134"/>
    </font>
    <font>
      <sz val="14"/>
      <color theme="9" tint="-0.25"/>
      <name val="汉仪粗圆简"/>
      <charset val="134"/>
    </font>
    <font>
      <sz val="14"/>
      <color rgb="FF1F2329"/>
      <name val="汉仪粗圆简"/>
      <charset val="134"/>
    </font>
    <font>
      <sz val="14"/>
      <color theme="1"/>
      <name val="汉仪正圆-75W"/>
      <charset val="134"/>
    </font>
    <font>
      <sz val="14"/>
      <color rgb="FF1F2329"/>
      <name val="汉仪正圆-75W"/>
      <charset val="134"/>
    </font>
    <font>
      <sz val="14"/>
      <color theme="1"/>
      <name val="汉仪粗圆简"/>
      <charset val="134"/>
    </font>
    <font>
      <b/>
      <sz val="18"/>
      <color theme="0"/>
      <name val="汉仪粗圆简"/>
      <charset val="134"/>
    </font>
    <font>
      <b/>
      <sz val="28"/>
      <color theme="1"/>
      <name val="微软雅黑"/>
      <charset val="134"/>
    </font>
    <font>
      <b/>
      <sz val="20"/>
      <color theme="0"/>
      <name val="微软雅黑"/>
      <charset val="134"/>
    </font>
    <font>
      <b/>
      <sz val="14"/>
      <color theme="9" tint="-0.25"/>
      <name val="微软雅黑"/>
      <charset val="134"/>
    </font>
    <font>
      <sz val="14"/>
      <color rgb="FF1F2329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微软雅黑"/>
      <charset val="134"/>
    </font>
    <font>
      <sz val="16"/>
      <color theme="0"/>
      <name val="微软雅黑"/>
      <charset val="134"/>
    </font>
    <font>
      <sz val="11"/>
      <color rgb="FFFF0000"/>
      <name val="微软雅黑"/>
      <charset val="134"/>
    </font>
    <font>
      <sz val="14"/>
      <color theme="1"/>
      <name val="微软雅黑"/>
      <charset val="134"/>
    </font>
    <font>
      <sz val="16"/>
      <color rgb="FFFF0000"/>
      <name val="微软雅黑"/>
      <charset val="134"/>
    </font>
    <font>
      <b/>
      <sz val="14"/>
      <name val="微软雅黑"/>
      <charset val="134"/>
    </font>
    <font>
      <sz val="14"/>
      <color rgb="FFFF0000"/>
      <name val="微软雅黑"/>
      <charset val="134"/>
    </font>
    <font>
      <b/>
      <sz val="18"/>
      <color theme="0"/>
      <name val="微软雅黑"/>
      <charset val="134"/>
    </font>
    <font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5"/>
      <name val="汉仪正圆-75W"/>
      <charset val="134"/>
    </font>
    <font>
      <sz val="11"/>
      <color theme="5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7EAA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theme="2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6" fillId="10" borderId="21" applyNumberFormat="0" applyAlignment="0" applyProtection="0">
      <alignment vertical="center"/>
    </xf>
    <xf numFmtId="0" fontId="37" fillId="10" borderId="20" applyNumberFormat="0" applyAlignment="0" applyProtection="0">
      <alignment vertical="center"/>
    </xf>
    <xf numFmtId="0" fontId="38" fillId="11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6" fillId="0" borderId="0"/>
  </cellStyleXfs>
  <cellXfs count="8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176" fontId="9" fillId="2" borderId="5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176" fontId="11" fillId="5" borderId="11" xfId="0" applyNumberFormat="1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176" fontId="20" fillId="6" borderId="0" xfId="0" applyNumberFormat="1" applyFont="1" applyFill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18" fillId="6" borderId="0" xfId="0" applyFont="1" applyFill="1" applyAlignment="1">
      <alignment horizontal="center" vertical="center"/>
    </xf>
    <xf numFmtId="176" fontId="18" fillId="6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176" fontId="21" fillId="2" borderId="5" xfId="0" applyNumberFormat="1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20" fillId="2" borderId="9" xfId="0" applyFont="1" applyFill="1" applyBorder="1" applyAlignment="1">
      <alignment horizontal="left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/>
    </xf>
    <xf numFmtId="176" fontId="21" fillId="5" borderId="11" xfId="0" applyNumberFormat="1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03年预算统一价格" xfId="49"/>
  </cellStyles>
  <dxfs count="2">
    <dxf>
      <font>
        <color theme="1"/>
      </font>
      <fill>
        <patternFill patternType="solid">
          <bgColor rgb="FFFF0000"/>
        </patternFill>
      </fill>
    </dxf>
    <dxf>
      <font>
        <b val="0"/>
        <i val="1"/>
        <strike val="1"/>
        <color theme="0" tint="-0.5"/>
      </font>
    </dxf>
  </dxfs>
  <tableStyles count="0" defaultTableStyle="TableStyleMedium9" defaultPivotStyle="PivotStyleLight16"/>
  <colors>
    <mruColors>
      <color rgb="009D89A8"/>
      <color rgb="00C3AECB"/>
      <color rgb="00B7EAAB"/>
      <color rgb="00CBE9A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汉仪粗圆简" panose="02010600000101010101" charset="-122"/>
                <a:ea typeface="汉仪粗圆简" panose="02010600000101010101" charset="-122"/>
              </a:rPr>
              <a:t>已购买材料预算占比</a:t>
            </a:r>
            <a:endParaRPr>
              <a:latin typeface="汉仪粗圆简" panose="02010600000101010101" charset="-122"/>
              <a:ea typeface="汉仪粗圆简" panose="0201060000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B050"/>
            </a:solidFill>
          </c:spPr>
          <c:explosion val="0"/>
          <c:dPt>
            <c:idx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C000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'预算记账表（自动计算版）'!$D$15:$D$16</c:f>
              <c:strCache>
                <c:ptCount val="2"/>
                <c:pt idx="0">
                  <c:v>预算金额（自动）</c:v>
                </c:pt>
                <c:pt idx="1">
                  <c:v>采购金额（自动）</c:v>
                </c:pt>
              </c:strCache>
            </c:strRef>
          </c:cat>
          <c:val>
            <c:numRef>
              <c:f>'预算记账表（自动计算版）'!$E$15:$E$16</c:f>
              <c:numCache>
                <c:formatCode>\¥#,##0.00;[Red]\¥\-#,##0.00</c:formatCode>
                <c:ptCount val="2"/>
                <c:pt idx="0">
                  <c:v>100296.8</c:v>
                </c:pt>
                <c:pt idx="1">
                  <c:v>127593.8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3134b3-7a5a-4b29-9146-afdb2c03f5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12065</xdr:colOff>
      <xdr:row>23</xdr:row>
      <xdr:rowOff>189230</xdr:rowOff>
    </xdr:from>
    <xdr:to>
      <xdr:col>5</xdr:col>
      <xdr:colOff>8890</xdr:colOff>
      <xdr:row>34</xdr:row>
      <xdr:rowOff>150495</xdr:rowOff>
    </xdr:to>
    <xdr:graphicFrame>
      <xdr:nvGraphicFramePr>
        <xdr:cNvPr id="2" name="图表 1"/>
        <xdr:cNvGraphicFramePr/>
      </xdr:nvGraphicFramePr>
      <xdr:xfrm>
        <a:off x="414020" y="6325870"/>
        <a:ext cx="3317240" cy="272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5"/>
  <sheetViews>
    <sheetView tabSelected="1" zoomScale="85" zoomScaleNormal="85" workbookViewId="0">
      <pane xSplit="10" ySplit="3" topLeftCell="K67" activePane="bottomRight" state="frozen"/>
      <selection/>
      <selection pane="topRight"/>
      <selection pane="bottomLeft"/>
      <selection pane="bottomRight" activeCell="U11" sqref="U11"/>
    </sheetView>
  </sheetViews>
  <sheetFormatPr defaultColWidth="9" defaultRowHeight="13.5"/>
  <cols>
    <col min="1" max="1" width="2.5929203539823" style="1" customWidth="1"/>
    <col min="2" max="2" width="3.00884955752212" style="1" customWidth="1"/>
    <col min="3" max="3" width="9.20353982300885" style="1" customWidth="1"/>
    <col min="4" max="4" width="23.7433628318584" style="1" customWidth="1"/>
    <col min="5" max="5" width="13.3274336283186" style="1" customWidth="1"/>
    <col min="6" max="6" width="1.85840707964602" style="1" customWidth="1"/>
    <col min="7" max="7" width="14.7787610619469" style="2" customWidth="1"/>
    <col min="8" max="8" width="20.9469026548673" style="2" customWidth="1"/>
    <col min="9" max="9" width="8.7787610619469" style="1" customWidth="1"/>
    <col min="10" max="10" width="30.6283185840708" style="1" customWidth="1"/>
    <col min="11" max="11" width="8.33628318584071" style="1" customWidth="1"/>
    <col min="12" max="12" width="20.8495575221239" style="1" customWidth="1"/>
    <col min="13" max="13" width="16.8672566371681" style="1" customWidth="1"/>
    <col min="14" max="14" width="8.61061946902655" style="1" customWidth="1"/>
    <col min="15" max="15" width="13.1946902654867" style="1" customWidth="1"/>
    <col min="16" max="16" width="15.8761061946903" style="1" customWidth="1"/>
    <col min="17" max="17" width="16.0353982300885" style="1" customWidth="1"/>
    <col min="18" max="18" width="12.0353982300885" style="1" customWidth="1"/>
    <col min="19" max="19" width="6.33628318584071" style="1" customWidth="1"/>
    <col min="20" max="20" width="8.69911504424779" style="1" customWidth="1"/>
    <col min="21" max="21" width="12.4955752212389" style="1" customWidth="1"/>
    <col min="22" max="22" width="7.9646017699115" style="1" customWidth="1"/>
    <col min="23" max="23" width="25.7345132743363" style="3" customWidth="1"/>
    <col min="24" max="24" width="2.7787610619469" style="4" customWidth="1"/>
    <col min="25" max="25" width="9" style="1"/>
    <col min="26" max="26" width="9" style="4"/>
    <col min="27" max="16384" width="9" style="1"/>
  </cols>
  <sheetData>
    <row r="1" ht="14.25"/>
    <row r="2" s="1" customFormat="1" ht="27.75" spans="1:26">
      <c r="A2" s="40" t="s">
        <v>0</v>
      </c>
      <c r="B2" s="40"/>
      <c r="C2" s="40"/>
      <c r="D2" s="40"/>
      <c r="E2" s="40"/>
      <c r="F2" s="40"/>
      <c r="G2" s="41" t="s">
        <v>1</v>
      </c>
      <c r="H2" s="42" t="s">
        <v>2</v>
      </c>
      <c r="I2" s="42" t="s">
        <v>3</v>
      </c>
      <c r="J2" s="42" t="s">
        <v>4</v>
      </c>
      <c r="K2" s="42" t="s">
        <v>5</v>
      </c>
      <c r="L2" s="42"/>
      <c r="M2" s="42"/>
      <c r="N2" s="42" t="s">
        <v>6</v>
      </c>
      <c r="O2" s="42"/>
      <c r="P2" s="42"/>
      <c r="Q2" s="73" t="s">
        <v>7</v>
      </c>
      <c r="R2" s="73" t="s">
        <v>8</v>
      </c>
      <c r="S2" s="42" t="s">
        <v>9</v>
      </c>
      <c r="T2" s="42"/>
      <c r="U2" s="42"/>
      <c r="V2" s="42"/>
      <c r="W2" s="74" t="s">
        <v>10</v>
      </c>
      <c r="X2" s="24"/>
      <c r="Z2" s="4"/>
    </row>
    <row r="3" ht="45" customHeight="1" spans="1:26">
      <c r="A3" s="43"/>
      <c r="B3" s="44"/>
      <c r="C3" s="45"/>
      <c r="D3" s="45"/>
      <c r="E3" s="45"/>
      <c r="F3" s="45"/>
      <c r="G3" s="46"/>
      <c r="H3" s="47"/>
      <c r="I3" s="47"/>
      <c r="J3" s="47"/>
      <c r="K3" s="67" t="s">
        <v>11</v>
      </c>
      <c r="L3" s="67" t="s">
        <v>12</v>
      </c>
      <c r="M3" s="67" t="s">
        <v>13</v>
      </c>
      <c r="N3" s="67" t="s">
        <v>14</v>
      </c>
      <c r="O3" s="67" t="s">
        <v>15</v>
      </c>
      <c r="P3" s="67" t="s">
        <v>16</v>
      </c>
      <c r="Q3" s="75"/>
      <c r="R3" s="75"/>
      <c r="S3" s="67" t="s">
        <v>17</v>
      </c>
      <c r="T3" s="67" t="s">
        <v>18</v>
      </c>
      <c r="U3" s="67" t="s">
        <v>19</v>
      </c>
      <c r="V3" s="67" t="s">
        <v>20</v>
      </c>
      <c r="W3" s="76"/>
      <c r="X3" s="24"/>
      <c r="Z3" s="27"/>
    </row>
    <row r="4" ht="19.8" customHeight="1" spans="1:28">
      <c r="A4" s="13"/>
      <c r="G4" s="48" t="s">
        <v>21</v>
      </c>
      <c r="H4" s="49" t="s">
        <v>22</v>
      </c>
      <c r="I4" s="68">
        <f t="shared" ref="I4:I18" si="0">ROW()-3</f>
        <v>1</v>
      </c>
      <c r="J4" s="69" t="s">
        <v>23</v>
      </c>
      <c r="K4" s="68"/>
      <c r="L4" s="70">
        <v>0</v>
      </c>
      <c r="M4" s="70">
        <f t="shared" ref="M4:M15" si="1">K4*L4</f>
        <v>0</v>
      </c>
      <c r="N4" s="68"/>
      <c r="O4" s="70">
        <v>0</v>
      </c>
      <c r="P4" s="70">
        <f t="shared" ref="P4:P15" si="2">N4*O4</f>
        <v>0</v>
      </c>
      <c r="Q4" s="70">
        <f t="shared" ref="Q4:Q15" si="3">M4-P4</f>
        <v>0</v>
      </c>
      <c r="R4" s="68" t="s">
        <v>24</v>
      </c>
      <c r="S4" s="68"/>
      <c r="T4" s="68"/>
      <c r="U4" s="68"/>
      <c r="V4" s="68"/>
      <c r="W4" s="77"/>
      <c r="X4" s="24"/>
      <c r="Y4" s="4"/>
      <c r="AA4" s="4"/>
      <c r="AB4" s="4"/>
    </row>
    <row r="5" ht="19.8" customHeight="1" spans="1:33">
      <c r="A5" s="13"/>
      <c r="B5" s="2"/>
      <c r="C5" s="50" t="s">
        <v>25</v>
      </c>
      <c r="D5" s="50"/>
      <c r="E5" s="50"/>
      <c r="G5" s="48"/>
      <c r="H5" s="49"/>
      <c r="I5" s="68">
        <f t="shared" si="0"/>
        <v>2</v>
      </c>
      <c r="J5" s="69" t="s">
        <v>26</v>
      </c>
      <c r="K5" s="68"/>
      <c r="L5" s="70">
        <v>0</v>
      </c>
      <c r="M5" s="70">
        <f t="shared" si="1"/>
        <v>0</v>
      </c>
      <c r="N5" s="68"/>
      <c r="O5" s="70">
        <v>0</v>
      </c>
      <c r="P5" s="70">
        <f t="shared" si="2"/>
        <v>0</v>
      </c>
      <c r="Q5" s="70">
        <f t="shared" si="3"/>
        <v>0</v>
      </c>
      <c r="R5" s="68" t="s">
        <v>24</v>
      </c>
      <c r="S5" s="68"/>
      <c r="T5" s="68"/>
      <c r="U5" s="68"/>
      <c r="V5" s="68"/>
      <c r="W5" s="77"/>
      <c r="X5" s="24"/>
      <c r="Y5" s="4"/>
      <c r="AA5" s="4"/>
      <c r="AB5" s="4"/>
      <c r="AC5" s="4"/>
      <c r="AD5" s="4"/>
      <c r="AE5" s="4"/>
      <c r="AF5" s="4"/>
      <c r="AG5" s="4"/>
    </row>
    <row r="6" ht="19.8" customHeight="1" spans="1:33">
      <c r="A6" s="13"/>
      <c r="B6" s="2"/>
      <c r="C6" s="2"/>
      <c r="G6" s="48"/>
      <c r="H6" s="49"/>
      <c r="I6" s="68">
        <f t="shared" si="0"/>
        <v>3</v>
      </c>
      <c r="J6" s="69" t="s">
        <v>27</v>
      </c>
      <c r="K6" s="68"/>
      <c r="L6" s="70">
        <v>0</v>
      </c>
      <c r="M6" s="70">
        <f t="shared" si="1"/>
        <v>0</v>
      </c>
      <c r="N6" s="68"/>
      <c r="O6" s="70">
        <v>0</v>
      </c>
      <c r="P6" s="70">
        <f t="shared" si="2"/>
        <v>0</v>
      </c>
      <c r="Q6" s="70">
        <f t="shared" si="3"/>
        <v>0</v>
      </c>
      <c r="R6" s="68" t="s">
        <v>24</v>
      </c>
      <c r="S6" s="68"/>
      <c r="T6" s="68"/>
      <c r="U6" s="68"/>
      <c r="V6" s="68"/>
      <c r="W6" s="77"/>
      <c r="X6" s="24"/>
      <c r="Y6" s="4"/>
      <c r="AA6" s="4"/>
      <c r="AB6" s="4"/>
      <c r="AC6" s="4"/>
      <c r="AD6" s="4"/>
      <c r="AE6" s="4"/>
      <c r="AF6" s="4"/>
      <c r="AG6" s="4"/>
    </row>
    <row r="7" ht="19.8" customHeight="1" spans="1:33">
      <c r="A7" s="13"/>
      <c r="B7" s="2"/>
      <c r="C7" s="51"/>
      <c r="D7" s="52" t="s">
        <v>28</v>
      </c>
      <c r="E7" s="52" t="s">
        <v>29</v>
      </c>
      <c r="G7" s="48"/>
      <c r="H7" s="49"/>
      <c r="I7" s="68">
        <f t="shared" si="0"/>
        <v>4</v>
      </c>
      <c r="J7" s="69" t="s">
        <v>30</v>
      </c>
      <c r="K7" s="68"/>
      <c r="L7" s="70">
        <v>0</v>
      </c>
      <c r="M7" s="70">
        <f t="shared" si="1"/>
        <v>0</v>
      </c>
      <c r="N7" s="68"/>
      <c r="O7" s="70">
        <v>0</v>
      </c>
      <c r="P7" s="70">
        <f t="shared" si="2"/>
        <v>0</v>
      </c>
      <c r="Q7" s="70">
        <f t="shared" si="3"/>
        <v>0</v>
      </c>
      <c r="R7" s="68" t="s">
        <v>24</v>
      </c>
      <c r="S7" s="68"/>
      <c r="T7" s="68"/>
      <c r="U7" s="68"/>
      <c r="V7" s="68"/>
      <c r="W7" s="77"/>
      <c r="X7" s="24"/>
      <c r="Y7" s="4"/>
      <c r="AA7" s="4"/>
      <c r="AB7" s="4"/>
      <c r="AC7" s="4"/>
      <c r="AD7" s="4"/>
      <c r="AE7" s="4"/>
      <c r="AF7" s="4"/>
      <c r="AG7" s="4"/>
    </row>
    <row r="8" ht="19.8" customHeight="1" spans="1:33">
      <c r="A8" s="13"/>
      <c r="B8" s="2"/>
      <c r="C8" s="51"/>
      <c r="D8" s="53" t="s">
        <v>31</v>
      </c>
      <c r="E8" s="54">
        <v>120000</v>
      </c>
      <c r="G8" s="48"/>
      <c r="H8" s="55" t="s">
        <v>32</v>
      </c>
      <c r="I8" s="68">
        <f t="shared" si="0"/>
        <v>5</v>
      </c>
      <c r="J8" s="69" t="s">
        <v>33</v>
      </c>
      <c r="K8" s="68">
        <v>1</v>
      </c>
      <c r="L8" s="70">
        <v>3200</v>
      </c>
      <c r="M8" s="70">
        <f t="shared" si="1"/>
        <v>3200</v>
      </c>
      <c r="N8" s="68">
        <v>1</v>
      </c>
      <c r="O8" s="70">
        <v>5400</v>
      </c>
      <c r="P8" s="70">
        <f t="shared" si="2"/>
        <v>5400</v>
      </c>
      <c r="Q8" s="70">
        <f t="shared" si="3"/>
        <v>-2200</v>
      </c>
      <c r="R8" s="68" t="s">
        <v>34</v>
      </c>
      <c r="S8" s="68"/>
      <c r="T8" s="68"/>
      <c r="U8" s="68"/>
      <c r="V8" s="68"/>
      <c r="W8" s="77"/>
      <c r="X8" s="24"/>
      <c r="Y8" s="4"/>
      <c r="AA8" s="4"/>
      <c r="AB8" s="4"/>
      <c r="AC8" s="4"/>
      <c r="AD8" s="4"/>
      <c r="AE8" s="4"/>
      <c r="AF8" s="4"/>
      <c r="AG8" s="4"/>
    </row>
    <row r="9" ht="19.8" customHeight="1" spans="1:33">
      <c r="A9" s="13"/>
      <c r="B9" s="2"/>
      <c r="C9" s="56" t="s">
        <v>35</v>
      </c>
      <c r="D9" s="57" t="s">
        <v>36</v>
      </c>
      <c r="E9" s="58">
        <f>M123</f>
        <v>106096.8</v>
      </c>
      <c r="G9" s="48"/>
      <c r="H9" s="55"/>
      <c r="I9" s="68">
        <f t="shared" si="0"/>
        <v>6</v>
      </c>
      <c r="J9" s="69" t="s">
        <v>37</v>
      </c>
      <c r="K9" s="68">
        <v>1</v>
      </c>
      <c r="L9" s="70">
        <v>2000</v>
      </c>
      <c r="M9" s="70">
        <f t="shared" si="1"/>
        <v>2000</v>
      </c>
      <c r="N9" s="68">
        <v>1</v>
      </c>
      <c r="O9" s="70">
        <v>2100</v>
      </c>
      <c r="P9" s="70">
        <f t="shared" si="2"/>
        <v>2100</v>
      </c>
      <c r="Q9" s="70">
        <f t="shared" si="3"/>
        <v>-100</v>
      </c>
      <c r="R9" s="68" t="s">
        <v>34</v>
      </c>
      <c r="S9" s="68"/>
      <c r="T9" s="68"/>
      <c r="U9" s="68"/>
      <c r="V9" s="68"/>
      <c r="W9" s="77" t="s">
        <v>38</v>
      </c>
      <c r="X9" s="24"/>
      <c r="Y9" s="4"/>
      <c r="AA9" s="4"/>
      <c r="AB9" s="4"/>
      <c r="AC9" s="4"/>
      <c r="AD9" s="4"/>
      <c r="AE9" s="4"/>
      <c r="AF9" s="4"/>
      <c r="AG9" s="4"/>
    </row>
    <row r="10" ht="19.8" customHeight="1" spans="1:33">
      <c r="A10" s="13"/>
      <c r="B10" s="2"/>
      <c r="C10" s="56" t="s">
        <v>39</v>
      </c>
      <c r="D10" s="57" t="s">
        <v>40</v>
      </c>
      <c r="E10" s="58">
        <f>E8-E9</f>
        <v>13903.2</v>
      </c>
      <c r="G10" s="48"/>
      <c r="H10" s="55"/>
      <c r="I10" s="68">
        <f t="shared" si="0"/>
        <v>7</v>
      </c>
      <c r="J10" s="69" t="s">
        <v>41</v>
      </c>
      <c r="K10" s="68"/>
      <c r="L10" s="70">
        <v>0</v>
      </c>
      <c r="M10" s="70">
        <f t="shared" si="1"/>
        <v>0</v>
      </c>
      <c r="N10" s="68"/>
      <c r="O10" s="70">
        <v>0</v>
      </c>
      <c r="P10" s="70">
        <f t="shared" si="2"/>
        <v>0</v>
      </c>
      <c r="Q10" s="70">
        <f t="shared" si="3"/>
        <v>0</v>
      </c>
      <c r="R10" s="68" t="s">
        <v>24</v>
      </c>
      <c r="S10" s="68"/>
      <c r="T10" s="68"/>
      <c r="U10" s="68"/>
      <c r="V10" s="68"/>
      <c r="W10" s="77"/>
      <c r="X10" s="24"/>
      <c r="Y10" s="4"/>
      <c r="AA10" s="4"/>
      <c r="AB10" s="4"/>
      <c r="AC10" s="4"/>
      <c r="AD10" s="4"/>
      <c r="AE10" s="4"/>
      <c r="AF10" s="4"/>
      <c r="AG10" s="4"/>
    </row>
    <row r="11" ht="19.8" customHeight="1" spans="1:33">
      <c r="A11" s="13"/>
      <c r="B11" s="2"/>
      <c r="C11" s="59"/>
      <c r="D11" s="57" t="s">
        <v>42</v>
      </c>
      <c r="E11" s="57" t="str">
        <f>IF(E9&gt;E8,"是","否")</f>
        <v>否</v>
      </c>
      <c r="G11" s="48"/>
      <c r="H11" s="55"/>
      <c r="I11" s="68">
        <f t="shared" si="0"/>
        <v>8</v>
      </c>
      <c r="J11" s="69" t="s">
        <v>43</v>
      </c>
      <c r="K11" s="68"/>
      <c r="L11" s="70">
        <v>0</v>
      </c>
      <c r="M11" s="70">
        <f t="shared" si="1"/>
        <v>0</v>
      </c>
      <c r="N11" s="68"/>
      <c r="O11" s="70">
        <v>0</v>
      </c>
      <c r="P11" s="70">
        <f t="shared" si="2"/>
        <v>0</v>
      </c>
      <c r="Q11" s="70">
        <f t="shared" si="3"/>
        <v>0</v>
      </c>
      <c r="R11" s="68" t="s">
        <v>24</v>
      </c>
      <c r="S11" s="68"/>
      <c r="T11" s="68"/>
      <c r="U11" s="68"/>
      <c r="V11" s="68"/>
      <c r="W11" s="77"/>
      <c r="X11" s="24"/>
      <c r="Y11" s="4"/>
      <c r="AA11" s="4"/>
      <c r="AB11" s="4"/>
      <c r="AC11" s="4"/>
      <c r="AD11" s="4"/>
      <c r="AE11" s="4"/>
      <c r="AF11" s="4"/>
      <c r="AG11" s="4"/>
    </row>
    <row r="12" ht="19.8" customHeight="1" spans="1:33">
      <c r="A12" s="13"/>
      <c r="B12" s="2"/>
      <c r="C12" s="60"/>
      <c r="D12" s="60"/>
      <c r="E12" s="60"/>
      <c r="G12" s="48"/>
      <c r="H12" s="55"/>
      <c r="I12" s="68">
        <f t="shared" si="0"/>
        <v>9</v>
      </c>
      <c r="J12" s="69" t="s">
        <v>44</v>
      </c>
      <c r="K12" s="68">
        <v>0</v>
      </c>
      <c r="L12" s="70">
        <v>0</v>
      </c>
      <c r="M12" s="70">
        <f t="shared" si="1"/>
        <v>0</v>
      </c>
      <c r="N12" s="68"/>
      <c r="O12" s="70">
        <v>0</v>
      </c>
      <c r="P12" s="70">
        <f t="shared" si="2"/>
        <v>0</v>
      </c>
      <c r="Q12" s="70">
        <f t="shared" si="3"/>
        <v>0</v>
      </c>
      <c r="R12" s="68" t="s">
        <v>24</v>
      </c>
      <c r="S12" s="68"/>
      <c r="T12" s="68"/>
      <c r="U12" s="68"/>
      <c r="V12" s="68"/>
      <c r="W12" s="77"/>
      <c r="X12" s="24"/>
      <c r="Y12" s="4"/>
      <c r="AA12" s="4"/>
      <c r="AB12" s="4"/>
      <c r="AC12" s="4"/>
      <c r="AD12" s="4"/>
      <c r="AE12" s="4"/>
      <c r="AF12" s="4"/>
      <c r="AG12" s="4"/>
    </row>
    <row r="13" ht="19.8" customHeight="1" spans="1:33">
      <c r="A13" s="13"/>
      <c r="B13" s="2"/>
      <c r="C13" s="61"/>
      <c r="D13" s="62"/>
      <c r="E13" s="62"/>
      <c r="G13" s="48"/>
      <c r="H13" s="55"/>
      <c r="I13" s="68"/>
      <c r="J13" s="69" t="s">
        <v>45</v>
      </c>
      <c r="K13" s="68">
        <v>1</v>
      </c>
      <c r="L13" s="70">
        <v>7000</v>
      </c>
      <c r="M13" s="70">
        <f t="shared" si="1"/>
        <v>7000</v>
      </c>
      <c r="N13" s="68">
        <v>1</v>
      </c>
      <c r="O13" s="70">
        <v>8850</v>
      </c>
      <c r="P13" s="70">
        <f t="shared" si="2"/>
        <v>8850</v>
      </c>
      <c r="Q13" s="70">
        <f t="shared" si="3"/>
        <v>-1850</v>
      </c>
      <c r="R13" s="68" t="s">
        <v>34</v>
      </c>
      <c r="S13" s="68"/>
      <c r="T13" s="68"/>
      <c r="U13" s="68"/>
      <c r="V13" s="68"/>
      <c r="W13" s="77"/>
      <c r="X13" s="24"/>
      <c r="Y13" s="4"/>
      <c r="AA13" s="4"/>
      <c r="AB13" s="4"/>
      <c r="AC13" s="4"/>
      <c r="AD13" s="4"/>
      <c r="AE13" s="4"/>
      <c r="AF13" s="4"/>
      <c r="AG13" s="4"/>
    </row>
    <row r="14" ht="19.8" customHeight="1" spans="1:33">
      <c r="A14" s="13"/>
      <c r="B14" s="2"/>
      <c r="C14" s="51"/>
      <c r="D14" s="52" t="s">
        <v>28</v>
      </c>
      <c r="E14" s="52" t="s">
        <v>29</v>
      </c>
      <c r="G14" s="48"/>
      <c r="H14" s="55"/>
      <c r="I14" s="68">
        <f t="shared" ref="I14:I19" si="4">ROW()-3</f>
        <v>11</v>
      </c>
      <c r="J14" s="69" t="s">
        <v>46</v>
      </c>
      <c r="K14" s="68">
        <v>1</v>
      </c>
      <c r="L14" s="70">
        <v>8530</v>
      </c>
      <c r="M14" s="70">
        <f t="shared" si="1"/>
        <v>8530</v>
      </c>
      <c r="N14" s="68">
        <v>1</v>
      </c>
      <c r="O14" s="70">
        <v>8530</v>
      </c>
      <c r="P14" s="70">
        <f t="shared" si="2"/>
        <v>8530</v>
      </c>
      <c r="Q14" s="70">
        <f t="shared" si="3"/>
        <v>0</v>
      </c>
      <c r="R14" s="68" t="s">
        <v>34</v>
      </c>
      <c r="S14" s="68"/>
      <c r="T14" s="68"/>
      <c r="U14" s="68"/>
      <c r="V14" s="68"/>
      <c r="W14" s="77"/>
      <c r="X14" s="24"/>
      <c r="Y14" s="4"/>
      <c r="AA14" s="4"/>
      <c r="AB14" s="4"/>
      <c r="AC14" s="4"/>
      <c r="AD14" s="4"/>
      <c r="AE14" s="4"/>
      <c r="AF14" s="4"/>
      <c r="AG14" s="4"/>
    </row>
    <row r="15" ht="19.8" customHeight="1" spans="1:33">
      <c r="A15" s="13"/>
      <c r="B15" s="2"/>
      <c r="C15" s="63" t="s">
        <v>34</v>
      </c>
      <c r="D15" s="57" t="s">
        <v>47</v>
      </c>
      <c r="E15" s="58">
        <f>SUMIF(R4:R122,"已购买",M4:M122)</f>
        <v>100296.8</v>
      </c>
      <c r="G15" s="48"/>
      <c r="H15" s="55"/>
      <c r="I15" s="68">
        <f t="shared" si="4"/>
        <v>12</v>
      </c>
      <c r="J15" s="69" t="s">
        <v>48</v>
      </c>
      <c r="K15" s="68"/>
      <c r="L15" s="70">
        <v>0</v>
      </c>
      <c r="M15" s="70">
        <f t="shared" si="1"/>
        <v>0</v>
      </c>
      <c r="N15" s="68"/>
      <c r="O15" s="70">
        <v>0</v>
      </c>
      <c r="P15" s="70">
        <f t="shared" si="2"/>
        <v>0</v>
      </c>
      <c r="Q15" s="70">
        <f t="shared" si="3"/>
        <v>0</v>
      </c>
      <c r="R15" s="68" t="s">
        <v>24</v>
      </c>
      <c r="S15" s="68"/>
      <c r="T15" s="68"/>
      <c r="U15" s="68"/>
      <c r="V15" s="68"/>
      <c r="W15" s="77"/>
      <c r="X15" s="24"/>
      <c r="Y15" s="4"/>
      <c r="AA15" s="4"/>
      <c r="AB15" s="4"/>
      <c r="AC15" s="4"/>
      <c r="AD15" s="4"/>
      <c r="AE15" s="4"/>
      <c r="AF15" s="4"/>
      <c r="AG15" s="4"/>
    </row>
    <row r="16" ht="19.8" customHeight="1" spans="1:33">
      <c r="A16" s="13"/>
      <c r="B16" s="2"/>
      <c r="C16" s="63"/>
      <c r="D16" s="57" t="s">
        <v>49</v>
      </c>
      <c r="E16" s="58">
        <f>SUMIF(R4:R122,"已购买",P4:P122)</f>
        <v>127593.8</v>
      </c>
      <c r="G16" s="48"/>
      <c r="H16" s="55" t="s">
        <v>50</v>
      </c>
      <c r="I16" s="68">
        <f t="shared" si="4"/>
        <v>13</v>
      </c>
      <c r="J16" s="69" t="s">
        <v>51</v>
      </c>
      <c r="K16" s="68">
        <v>1</v>
      </c>
      <c r="L16" s="70">
        <v>500</v>
      </c>
      <c r="M16" s="70">
        <f t="shared" ref="M15:M31" si="5">K16*L16</f>
        <v>500</v>
      </c>
      <c r="N16" s="68">
        <v>1</v>
      </c>
      <c r="O16" s="70">
        <v>1000</v>
      </c>
      <c r="P16" s="70">
        <f t="shared" ref="P15:P31" si="6">N16*O16</f>
        <v>1000</v>
      </c>
      <c r="Q16" s="70">
        <f t="shared" ref="Q15:Q31" si="7">M16-P16</f>
        <v>-500</v>
      </c>
      <c r="R16" s="68" t="s">
        <v>34</v>
      </c>
      <c r="S16" s="68"/>
      <c r="T16" s="68"/>
      <c r="U16" s="68"/>
      <c r="V16" s="68"/>
      <c r="W16" s="78" t="s">
        <v>52</v>
      </c>
      <c r="X16" s="24"/>
      <c r="Y16" s="4"/>
      <c r="AA16" s="4"/>
      <c r="AB16" s="4"/>
      <c r="AC16" s="4"/>
      <c r="AD16" s="4"/>
      <c r="AE16" s="4"/>
      <c r="AF16" s="4"/>
      <c r="AG16" s="4"/>
    </row>
    <row r="17" ht="19.8" customHeight="1" spans="1:38">
      <c r="A17" s="13"/>
      <c r="B17" s="2"/>
      <c r="C17" s="63"/>
      <c r="D17" s="57" t="s">
        <v>53</v>
      </c>
      <c r="E17" s="58">
        <f>E15-E16</f>
        <v>-27297</v>
      </c>
      <c r="G17" s="48"/>
      <c r="H17" s="55"/>
      <c r="I17" s="68">
        <f t="shared" si="4"/>
        <v>14</v>
      </c>
      <c r="J17" s="69" t="s">
        <v>54</v>
      </c>
      <c r="K17" s="68"/>
      <c r="L17" s="70">
        <v>0</v>
      </c>
      <c r="M17" s="70">
        <f t="shared" si="5"/>
        <v>0</v>
      </c>
      <c r="N17" s="68"/>
      <c r="O17" s="70">
        <v>0</v>
      </c>
      <c r="P17" s="70">
        <f t="shared" si="6"/>
        <v>0</v>
      </c>
      <c r="Q17" s="70">
        <f t="shared" si="7"/>
        <v>0</v>
      </c>
      <c r="R17" s="68" t="s">
        <v>24</v>
      </c>
      <c r="S17" s="68"/>
      <c r="T17" s="68"/>
      <c r="U17" s="68"/>
      <c r="V17" s="68"/>
      <c r="W17" s="77"/>
      <c r="X17" s="24"/>
      <c r="Y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ht="20" customHeight="1" spans="1:38">
      <c r="A18" s="13"/>
      <c r="B18" s="2"/>
      <c r="C18" s="63"/>
      <c r="D18" s="64" t="s">
        <v>42</v>
      </c>
      <c r="E18" s="64" t="str">
        <f>IF(E16&gt;E15,"是","否")</f>
        <v>是</v>
      </c>
      <c r="G18" s="48"/>
      <c r="H18" s="55"/>
      <c r="I18" s="68">
        <f t="shared" si="4"/>
        <v>15</v>
      </c>
      <c r="J18" s="69" t="s">
        <v>55</v>
      </c>
      <c r="K18" s="68">
        <v>1</v>
      </c>
      <c r="L18" s="70">
        <v>0</v>
      </c>
      <c r="M18" s="70">
        <f t="shared" si="5"/>
        <v>0</v>
      </c>
      <c r="N18" s="68">
        <v>1</v>
      </c>
      <c r="O18" s="70">
        <v>50</v>
      </c>
      <c r="P18" s="70">
        <f t="shared" si="6"/>
        <v>50</v>
      </c>
      <c r="Q18" s="70">
        <f t="shared" si="7"/>
        <v>-50</v>
      </c>
      <c r="R18" s="68" t="s">
        <v>34</v>
      </c>
      <c r="S18" s="68"/>
      <c r="T18" s="68"/>
      <c r="U18" s="68"/>
      <c r="V18" s="68"/>
      <c r="W18" s="77"/>
      <c r="X18" s="24"/>
      <c r="Y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ht="19.8" customHeight="1" spans="1:38">
      <c r="A19" s="13"/>
      <c r="B19" s="2"/>
      <c r="C19" s="60"/>
      <c r="D19" s="60"/>
      <c r="E19" s="65"/>
      <c r="G19" s="48" t="s">
        <v>56</v>
      </c>
      <c r="H19" s="66" t="s">
        <v>57</v>
      </c>
      <c r="I19" s="68">
        <f t="shared" si="4"/>
        <v>16</v>
      </c>
      <c r="J19" s="68" t="s">
        <v>58</v>
      </c>
      <c r="K19" s="68"/>
      <c r="L19" s="70">
        <v>0</v>
      </c>
      <c r="M19" s="70">
        <f t="shared" si="5"/>
        <v>0</v>
      </c>
      <c r="N19" s="68"/>
      <c r="O19" s="70">
        <v>0</v>
      </c>
      <c r="P19" s="70">
        <f t="shared" si="6"/>
        <v>0</v>
      </c>
      <c r="Q19" s="70">
        <f t="shared" si="7"/>
        <v>0</v>
      </c>
      <c r="R19" s="68" t="s">
        <v>24</v>
      </c>
      <c r="S19" s="68"/>
      <c r="T19" s="68"/>
      <c r="U19" s="68"/>
      <c r="V19" s="68"/>
      <c r="W19" s="77" t="s">
        <v>59</v>
      </c>
      <c r="X19" s="24"/>
      <c r="Y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ht="19.8" customHeight="1" spans="1:38">
      <c r="A20" s="13"/>
      <c r="B20" s="2"/>
      <c r="C20" s="51"/>
      <c r="D20" s="63"/>
      <c r="E20" s="52"/>
      <c r="G20" s="48"/>
      <c r="H20" s="66" t="s">
        <v>60</v>
      </c>
      <c r="I20" s="68">
        <v>16</v>
      </c>
      <c r="J20" s="71" t="s">
        <v>60</v>
      </c>
      <c r="K20" s="68">
        <v>1</v>
      </c>
      <c r="L20" s="70">
        <v>200</v>
      </c>
      <c r="M20" s="70">
        <f t="shared" si="5"/>
        <v>200</v>
      </c>
      <c r="N20" s="68">
        <v>0</v>
      </c>
      <c r="O20" s="70">
        <v>0</v>
      </c>
      <c r="P20" s="70">
        <f t="shared" si="6"/>
        <v>0</v>
      </c>
      <c r="Q20" s="70">
        <f t="shared" si="7"/>
        <v>200</v>
      </c>
      <c r="R20" s="68" t="s">
        <v>24</v>
      </c>
      <c r="S20" s="68"/>
      <c r="T20" s="68"/>
      <c r="U20" s="68"/>
      <c r="V20" s="68"/>
      <c r="W20" s="77"/>
      <c r="X20" s="24"/>
      <c r="Y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ht="19.8" customHeight="1" spans="1:38">
      <c r="A21" s="13"/>
      <c r="B21" s="2"/>
      <c r="C21" s="51"/>
      <c r="D21" s="52" t="s">
        <v>28</v>
      </c>
      <c r="E21" s="52" t="s">
        <v>29</v>
      </c>
      <c r="G21" s="48"/>
      <c r="H21" s="66" t="s">
        <v>61</v>
      </c>
      <c r="I21" s="68">
        <f t="shared" ref="I21:I38" si="8">ROW()-3</f>
        <v>18</v>
      </c>
      <c r="J21" s="68" t="s">
        <v>61</v>
      </c>
      <c r="K21" s="68">
        <v>1</v>
      </c>
      <c r="L21" s="70">
        <v>4000</v>
      </c>
      <c r="M21" s="70">
        <f t="shared" si="5"/>
        <v>4000</v>
      </c>
      <c r="N21" s="68">
        <v>1</v>
      </c>
      <c r="O21" s="70">
        <v>5600</v>
      </c>
      <c r="P21" s="70">
        <f t="shared" si="6"/>
        <v>5600</v>
      </c>
      <c r="Q21" s="70">
        <f t="shared" si="7"/>
        <v>-1600</v>
      </c>
      <c r="R21" s="68" t="s">
        <v>34</v>
      </c>
      <c r="S21" s="68"/>
      <c r="T21" s="68"/>
      <c r="U21" s="68"/>
      <c r="V21" s="68"/>
      <c r="W21" s="77" t="s">
        <v>62</v>
      </c>
      <c r="X21" s="24"/>
      <c r="Y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ht="19.8" customHeight="1" spans="1:38">
      <c r="A22" s="13"/>
      <c r="B22" s="2"/>
      <c r="C22" s="63" t="s">
        <v>24</v>
      </c>
      <c r="D22" s="57" t="s">
        <v>63</v>
      </c>
      <c r="E22" s="58">
        <f>SUMIF(R4:R122,"未购买",M4:M122)</f>
        <v>5800</v>
      </c>
      <c r="G22" s="48" t="s">
        <v>64</v>
      </c>
      <c r="H22" s="66" t="s">
        <v>65</v>
      </c>
      <c r="I22" s="68">
        <f t="shared" si="8"/>
        <v>19</v>
      </c>
      <c r="J22" s="68" t="s">
        <v>66</v>
      </c>
      <c r="K22" s="68">
        <v>0</v>
      </c>
      <c r="L22" s="70">
        <v>0</v>
      </c>
      <c r="M22" s="70">
        <f t="shared" si="5"/>
        <v>0</v>
      </c>
      <c r="N22" s="68"/>
      <c r="O22" s="70">
        <v>0</v>
      </c>
      <c r="P22" s="70">
        <f t="shared" si="6"/>
        <v>0</v>
      </c>
      <c r="Q22" s="70">
        <f t="shared" si="7"/>
        <v>0</v>
      </c>
      <c r="R22" s="68" t="s">
        <v>24</v>
      </c>
      <c r="S22" s="68"/>
      <c r="T22" s="68"/>
      <c r="U22" s="68"/>
      <c r="V22" s="68"/>
      <c r="W22" s="77" t="s">
        <v>67</v>
      </c>
      <c r="X22" s="24"/>
      <c r="Y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ht="19.8" customHeight="1" spans="1:38">
      <c r="A23" s="13"/>
      <c r="B23" s="2"/>
      <c r="C23" s="63"/>
      <c r="D23" s="57" t="s">
        <v>68</v>
      </c>
      <c r="E23" s="58">
        <f>E8-E16</f>
        <v>-7593.8</v>
      </c>
      <c r="G23" s="48"/>
      <c r="H23" s="66"/>
      <c r="I23" s="68">
        <f t="shared" si="8"/>
        <v>20</v>
      </c>
      <c r="J23" s="68" t="s">
        <v>69</v>
      </c>
      <c r="K23" s="68">
        <v>0</v>
      </c>
      <c r="L23" s="70">
        <v>0</v>
      </c>
      <c r="M23" s="70">
        <f t="shared" si="5"/>
        <v>0</v>
      </c>
      <c r="N23" s="68"/>
      <c r="O23" s="70">
        <v>0</v>
      </c>
      <c r="P23" s="70">
        <f t="shared" si="6"/>
        <v>0</v>
      </c>
      <c r="Q23" s="70">
        <f t="shared" si="7"/>
        <v>0</v>
      </c>
      <c r="R23" s="68" t="s">
        <v>24</v>
      </c>
      <c r="S23" s="68"/>
      <c r="T23" s="68"/>
      <c r="U23" s="68"/>
      <c r="V23" s="68"/>
      <c r="W23" s="77"/>
      <c r="X23" s="24"/>
      <c r="Y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ht="19.8" customHeight="1" spans="1:38">
      <c r="A24" s="13"/>
      <c r="B24" s="2"/>
      <c r="C24" s="2"/>
      <c r="G24" s="48"/>
      <c r="H24" s="66"/>
      <c r="I24" s="68">
        <f t="shared" si="8"/>
        <v>21</v>
      </c>
      <c r="J24" s="68" t="s">
        <v>70</v>
      </c>
      <c r="K24" s="68">
        <v>0</v>
      </c>
      <c r="L24" s="70">
        <v>0</v>
      </c>
      <c r="M24" s="70">
        <f t="shared" si="5"/>
        <v>0</v>
      </c>
      <c r="N24" s="68"/>
      <c r="O24" s="70">
        <v>0</v>
      </c>
      <c r="P24" s="70">
        <f t="shared" si="6"/>
        <v>0</v>
      </c>
      <c r="Q24" s="70">
        <f t="shared" si="7"/>
        <v>0</v>
      </c>
      <c r="R24" s="68" t="s">
        <v>24</v>
      </c>
      <c r="S24" s="68"/>
      <c r="T24" s="68"/>
      <c r="U24" s="68"/>
      <c r="V24" s="68"/>
      <c r="W24" s="77"/>
      <c r="X24" s="24"/>
      <c r="Y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ht="19.8" customHeight="1" spans="1:38">
      <c r="A25" s="13"/>
      <c r="B25" s="2"/>
      <c r="G25" s="48"/>
      <c r="H25" s="66"/>
      <c r="I25" s="68">
        <f t="shared" si="8"/>
        <v>22</v>
      </c>
      <c r="J25" s="68" t="s">
        <v>71</v>
      </c>
      <c r="K25" s="68">
        <v>0</v>
      </c>
      <c r="L25" s="70">
        <v>0</v>
      </c>
      <c r="M25" s="70">
        <f t="shared" si="5"/>
        <v>0</v>
      </c>
      <c r="N25" s="68"/>
      <c r="O25" s="70">
        <v>0</v>
      </c>
      <c r="P25" s="70">
        <f t="shared" si="6"/>
        <v>0</v>
      </c>
      <c r="Q25" s="70">
        <f t="shared" si="7"/>
        <v>0</v>
      </c>
      <c r="R25" s="68" t="s">
        <v>24</v>
      </c>
      <c r="S25" s="68"/>
      <c r="T25" s="68"/>
      <c r="U25" s="68"/>
      <c r="V25" s="68"/>
      <c r="W25" s="77"/>
      <c r="X25" s="24"/>
      <c r="Y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ht="19.8" customHeight="1" spans="1:38">
      <c r="A26" s="13"/>
      <c r="G26" s="48" t="s">
        <v>72</v>
      </c>
      <c r="H26" s="66" t="s">
        <v>73</v>
      </c>
      <c r="I26" s="68">
        <f t="shared" si="8"/>
        <v>23</v>
      </c>
      <c r="J26" s="68" t="s">
        <v>74</v>
      </c>
      <c r="K26" s="68">
        <v>0</v>
      </c>
      <c r="L26" s="70">
        <v>0</v>
      </c>
      <c r="M26" s="70">
        <f t="shared" si="5"/>
        <v>0</v>
      </c>
      <c r="N26" s="68"/>
      <c r="O26" s="70">
        <v>0</v>
      </c>
      <c r="P26" s="70">
        <f t="shared" si="6"/>
        <v>0</v>
      </c>
      <c r="Q26" s="70">
        <f t="shared" si="7"/>
        <v>0</v>
      </c>
      <c r="R26" s="68" t="s">
        <v>24</v>
      </c>
      <c r="S26" s="68"/>
      <c r="T26" s="68"/>
      <c r="U26" s="68"/>
      <c r="V26" s="68"/>
      <c r="W26" s="77" t="s">
        <v>75</v>
      </c>
      <c r="X26" s="24"/>
      <c r="Y26" s="4"/>
      <c r="AA26" s="4"/>
      <c r="AB26" s="4"/>
      <c r="AF26" s="4"/>
      <c r="AG26" s="4"/>
      <c r="AH26" s="4"/>
      <c r="AI26" s="4"/>
      <c r="AJ26" s="4"/>
      <c r="AK26" s="4"/>
      <c r="AL26" s="4"/>
    </row>
    <row r="27" ht="19.8" customHeight="1" spans="1:38">
      <c r="A27" s="13"/>
      <c r="G27" s="48"/>
      <c r="H27" s="66"/>
      <c r="I27" s="68">
        <f t="shared" si="8"/>
        <v>24</v>
      </c>
      <c r="J27" s="68" t="s">
        <v>76</v>
      </c>
      <c r="K27" s="68">
        <v>0</v>
      </c>
      <c r="L27" s="70">
        <v>0</v>
      </c>
      <c r="M27" s="70">
        <f t="shared" si="5"/>
        <v>0</v>
      </c>
      <c r="N27" s="68"/>
      <c r="O27" s="70">
        <v>0</v>
      </c>
      <c r="P27" s="70">
        <f t="shared" si="6"/>
        <v>0</v>
      </c>
      <c r="Q27" s="70">
        <f t="shared" si="7"/>
        <v>0</v>
      </c>
      <c r="R27" s="68" t="s">
        <v>24</v>
      </c>
      <c r="S27" s="68"/>
      <c r="T27" s="68"/>
      <c r="U27" s="68"/>
      <c r="V27" s="68"/>
      <c r="W27" s="77"/>
      <c r="X27" s="24"/>
      <c r="Y27" s="4"/>
      <c r="AA27" s="4"/>
      <c r="AB27" s="4"/>
      <c r="AF27" s="4"/>
      <c r="AG27" s="4"/>
      <c r="AH27" s="4"/>
      <c r="AI27" s="4"/>
      <c r="AJ27" s="4"/>
      <c r="AK27" s="4"/>
      <c r="AL27" s="4"/>
    </row>
    <row r="28" ht="19.8" customHeight="1" spans="1:36">
      <c r="A28" s="13"/>
      <c r="G28" s="48"/>
      <c r="H28" s="66"/>
      <c r="I28" s="68">
        <f t="shared" si="8"/>
        <v>25</v>
      </c>
      <c r="J28" s="68" t="s">
        <v>77</v>
      </c>
      <c r="K28" s="68">
        <v>0</v>
      </c>
      <c r="L28" s="70">
        <v>0</v>
      </c>
      <c r="M28" s="70">
        <f t="shared" si="5"/>
        <v>0</v>
      </c>
      <c r="N28" s="68"/>
      <c r="O28" s="70">
        <v>0</v>
      </c>
      <c r="P28" s="70">
        <f t="shared" si="6"/>
        <v>0</v>
      </c>
      <c r="Q28" s="70">
        <f t="shared" si="7"/>
        <v>0</v>
      </c>
      <c r="R28" s="68" t="s">
        <v>24</v>
      </c>
      <c r="S28" s="68"/>
      <c r="T28" s="68"/>
      <c r="U28" s="68"/>
      <c r="V28" s="68"/>
      <c r="W28" s="77"/>
      <c r="X28" s="24"/>
      <c r="Z28" s="27"/>
      <c r="AF28" s="4"/>
      <c r="AG28" s="4"/>
      <c r="AH28" s="4"/>
      <c r="AI28" s="4"/>
      <c r="AJ28" s="4"/>
    </row>
    <row r="29" ht="19.8" customHeight="1" spans="1:36">
      <c r="A29" s="13"/>
      <c r="G29" s="48"/>
      <c r="H29" s="66" t="s">
        <v>78</v>
      </c>
      <c r="I29" s="68">
        <f t="shared" si="8"/>
        <v>26</v>
      </c>
      <c r="J29" s="68" t="s">
        <v>79</v>
      </c>
      <c r="K29" s="68"/>
      <c r="L29" s="70">
        <v>0</v>
      </c>
      <c r="M29" s="70">
        <f t="shared" si="5"/>
        <v>0</v>
      </c>
      <c r="N29" s="68"/>
      <c r="O29" s="70">
        <v>0</v>
      </c>
      <c r="P29" s="70">
        <f t="shared" si="6"/>
        <v>0</v>
      </c>
      <c r="Q29" s="70">
        <f t="shared" si="7"/>
        <v>0</v>
      </c>
      <c r="R29" s="68" t="s">
        <v>24</v>
      </c>
      <c r="S29" s="68"/>
      <c r="T29" s="68"/>
      <c r="U29" s="68"/>
      <c r="V29" s="68"/>
      <c r="W29" s="77" t="s">
        <v>80</v>
      </c>
      <c r="X29" s="24"/>
      <c r="AF29" s="4"/>
      <c r="AG29" s="4"/>
      <c r="AH29" s="4"/>
      <c r="AI29" s="4"/>
      <c r="AJ29" s="4"/>
    </row>
    <row r="30" ht="19.8" customHeight="1" spans="1:36">
      <c r="A30" s="13"/>
      <c r="G30" s="48"/>
      <c r="H30" s="66"/>
      <c r="I30" s="68">
        <f t="shared" si="8"/>
        <v>27</v>
      </c>
      <c r="J30" s="68" t="s">
        <v>81</v>
      </c>
      <c r="K30" s="68"/>
      <c r="L30" s="70">
        <v>0</v>
      </c>
      <c r="M30" s="70">
        <f t="shared" si="5"/>
        <v>0</v>
      </c>
      <c r="N30" s="68"/>
      <c r="O30" s="70">
        <v>0</v>
      </c>
      <c r="P30" s="70">
        <f t="shared" si="6"/>
        <v>0</v>
      </c>
      <c r="Q30" s="70">
        <f t="shared" si="7"/>
        <v>0</v>
      </c>
      <c r="R30" s="68" t="s">
        <v>24</v>
      </c>
      <c r="S30" s="68"/>
      <c r="T30" s="68"/>
      <c r="U30" s="68"/>
      <c r="V30" s="68"/>
      <c r="W30" s="77"/>
      <c r="X30" s="24"/>
      <c r="AF30" s="4"/>
      <c r="AG30" s="4"/>
      <c r="AH30" s="4"/>
      <c r="AI30" s="4"/>
      <c r="AJ30" s="4"/>
    </row>
    <row r="31" ht="19.8" customHeight="1" spans="1:36">
      <c r="A31" s="13"/>
      <c r="G31" s="48"/>
      <c r="H31" s="66"/>
      <c r="I31" s="68">
        <f t="shared" si="8"/>
        <v>28</v>
      </c>
      <c r="J31" s="68" t="s">
        <v>82</v>
      </c>
      <c r="K31" s="68">
        <v>0</v>
      </c>
      <c r="L31" s="70">
        <v>4000</v>
      </c>
      <c r="M31" s="70">
        <f t="shared" si="5"/>
        <v>0</v>
      </c>
      <c r="N31" s="68">
        <v>0</v>
      </c>
      <c r="O31" s="70">
        <v>6200</v>
      </c>
      <c r="P31" s="70">
        <f t="shared" si="6"/>
        <v>0</v>
      </c>
      <c r="Q31" s="70">
        <f t="shared" si="7"/>
        <v>0</v>
      </c>
      <c r="R31" s="68" t="s">
        <v>24</v>
      </c>
      <c r="S31" s="68"/>
      <c r="T31" s="68"/>
      <c r="U31" s="68"/>
      <c r="V31" s="68"/>
      <c r="W31" s="77"/>
      <c r="X31" s="24"/>
      <c r="AF31" s="4"/>
      <c r="AG31" s="4"/>
      <c r="AH31" s="4"/>
      <c r="AI31" s="4"/>
      <c r="AJ31" s="4"/>
    </row>
    <row r="32" ht="19.8" customHeight="1" spans="1:36">
      <c r="A32" s="13"/>
      <c r="G32" s="48"/>
      <c r="H32" s="66"/>
      <c r="I32" s="68">
        <f t="shared" si="8"/>
        <v>29</v>
      </c>
      <c r="J32" s="72" t="s">
        <v>83</v>
      </c>
      <c r="K32" s="68">
        <v>1</v>
      </c>
      <c r="L32" s="70">
        <v>2500</v>
      </c>
      <c r="M32" s="70">
        <f t="shared" ref="M32:M38" si="9">K32*L32</f>
        <v>2500</v>
      </c>
      <c r="N32" s="68">
        <v>1</v>
      </c>
      <c r="O32" s="70">
        <v>3543</v>
      </c>
      <c r="P32" s="70">
        <f t="shared" ref="P32:P38" si="10">N32*O32</f>
        <v>3543</v>
      </c>
      <c r="Q32" s="70">
        <f t="shared" ref="Q32:Q38" si="11">M32-P32</f>
        <v>-1043</v>
      </c>
      <c r="R32" s="68" t="s">
        <v>34</v>
      </c>
      <c r="S32" s="68"/>
      <c r="T32" s="68"/>
      <c r="U32" s="68"/>
      <c r="V32" s="68"/>
      <c r="W32" s="77"/>
      <c r="X32" s="24"/>
      <c r="AF32" s="4"/>
      <c r="AG32" s="4"/>
      <c r="AH32" s="4"/>
      <c r="AI32" s="4"/>
      <c r="AJ32" s="4"/>
    </row>
    <row r="33" ht="19.8" customHeight="1" spans="1:36">
      <c r="A33" s="13"/>
      <c r="G33" s="48"/>
      <c r="H33" s="66" t="s">
        <v>84</v>
      </c>
      <c r="I33" s="68">
        <f t="shared" si="8"/>
        <v>30</v>
      </c>
      <c r="J33" s="68" t="s">
        <v>85</v>
      </c>
      <c r="K33" s="68"/>
      <c r="L33" s="70">
        <v>0</v>
      </c>
      <c r="M33" s="70">
        <f t="shared" si="9"/>
        <v>0</v>
      </c>
      <c r="N33" s="68"/>
      <c r="O33" s="70">
        <v>0</v>
      </c>
      <c r="P33" s="70">
        <f t="shared" si="10"/>
        <v>0</v>
      </c>
      <c r="Q33" s="70">
        <f t="shared" si="11"/>
        <v>0</v>
      </c>
      <c r="R33" s="68" t="s">
        <v>24</v>
      </c>
      <c r="S33" s="68"/>
      <c r="T33" s="68"/>
      <c r="U33" s="68"/>
      <c r="V33" s="68"/>
      <c r="W33" s="77" t="s">
        <v>67</v>
      </c>
      <c r="X33" s="24"/>
      <c r="AF33" s="4"/>
      <c r="AG33" s="4"/>
      <c r="AH33" s="4"/>
      <c r="AI33" s="4"/>
      <c r="AJ33" s="4"/>
    </row>
    <row r="34" ht="19.8" customHeight="1" spans="1:24">
      <c r="A34" s="13"/>
      <c r="G34" s="48"/>
      <c r="H34" s="66"/>
      <c r="I34" s="68">
        <f t="shared" si="8"/>
        <v>31</v>
      </c>
      <c r="J34" s="68" t="s">
        <v>86</v>
      </c>
      <c r="K34" s="68"/>
      <c r="L34" s="70">
        <v>0</v>
      </c>
      <c r="M34" s="70">
        <f t="shared" si="9"/>
        <v>0</v>
      </c>
      <c r="N34" s="68"/>
      <c r="O34" s="70">
        <v>0</v>
      </c>
      <c r="P34" s="70">
        <f t="shared" si="10"/>
        <v>0</v>
      </c>
      <c r="Q34" s="70">
        <f t="shared" si="11"/>
        <v>0</v>
      </c>
      <c r="R34" s="68" t="s">
        <v>24</v>
      </c>
      <c r="S34" s="68"/>
      <c r="T34" s="68"/>
      <c r="U34" s="68"/>
      <c r="V34" s="68"/>
      <c r="W34" s="77"/>
      <c r="X34" s="24"/>
    </row>
    <row r="35" ht="19.8" customHeight="1" spans="1:24">
      <c r="A35" s="13"/>
      <c r="G35" s="48"/>
      <c r="H35" s="66"/>
      <c r="I35" s="68">
        <f t="shared" si="8"/>
        <v>32</v>
      </c>
      <c r="J35" s="68" t="s">
        <v>87</v>
      </c>
      <c r="K35" s="68"/>
      <c r="L35" s="70">
        <v>0</v>
      </c>
      <c r="M35" s="70">
        <f t="shared" si="9"/>
        <v>0</v>
      </c>
      <c r="N35" s="68"/>
      <c r="O35" s="70">
        <v>0</v>
      </c>
      <c r="P35" s="70">
        <f t="shared" si="10"/>
        <v>0</v>
      </c>
      <c r="Q35" s="70">
        <f t="shared" si="11"/>
        <v>0</v>
      </c>
      <c r="R35" s="68" t="s">
        <v>24</v>
      </c>
      <c r="S35" s="68"/>
      <c r="T35" s="68"/>
      <c r="U35" s="68"/>
      <c r="V35" s="68"/>
      <c r="W35" s="77"/>
      <c r="X35" s="24"/>
    </row>
    <row r="36" ht="19.8" customHeight="1" spans="1:24">
      <c r="A36" s="13"/>
      <c r="G36" s="48"/>
      <c r="H36" s="66" t="s">
        <v>88</v>
      </c>
      <c r="I36" s="68">
        <f t="shared" si="8"/>
        <v>33</v>
      </c>
      <c r="J36" s="68" t="s">
        <v>89</v>
      </c>
      <c r="K36" s="68"/>
      <c r="L36" s="70">
        <v>0</v>
      </c>
      <c r="M36" s="70">
        <f t="shared" si="9"/>
        <v>0</v>
      </c>
      <c r="N36" s="68"/>
      <c r="O36" s="70">
        <v>0</v>
      </c>
      <c r="P36" s="70">
        <f t="shared" si="10"/>
        <v>0</v>
      </c>
      <c r="Q36" s="70">
        <f t="shared" si="11"/>
        <v>0</v>
      </c>
      <c r="R36" s="68" t="s">
        <v>24</v>
      </c>
      <c r="S36" s="68"/>
      <c r="T36" s="68"/>
      <c r="U36" s="68"/>
      <c r="V36" s="68"/>
      <c r="W36" s="77" t="s">
        <v>90</v>
      </c>
      <c r="X36" s="24"/>
    </row>
    <row r="37" ht="19.8" customHeight="1" spans="1:24">
      <c r="A37" s="13"/>
      <c r="G37" s="48"/>
      <c r="H37" s="66"/>
      <c r="I37" s="68">
        <f t="shared" si="8"/>
        <v>34</v>
      </c>
      <c r="J37" s="68" t="s">
        <v>91</v>
      </c>
      <c r="K37" s="68"/>
      <c r="L37" s="70">
        <v>0</v>
      </c>
      <c r="M37" s="70">
        <f t="shared" si="9"/>
        <v>0</v>
      </c>
      <c r="N37" s="68"/>
      <c r="O37" s="70">
        <v>0</v>
      </c>
      <c r="P37" s="70">
        <f t="shared" si="10"/>
        <v>0</v>
      </c>
      <c r="Q37" s="70">
        <f t="shared" si="11"/>
        <v>0</v>
      </c>
      <c r="R37" s="68" t="s">
        <v>24</v>
      </c>
      <c r="S37" s="68"/>
      <c r="T37" s="68"/>
      <c r="U37" s="68"/>
      <c r="V37" s="68"/>
      <c r="W37" s="77"/>
      <c r="X37" s="24"/>
    </row>
    <row r="38" ht="19.8" customHeight="1" spans="1:24">
      <c r="A38" s="13"/>
      <c r="G38" s="48"/>
      <c r="H38" s="66"/>
      <c r="I38" s="68">
        <f t="shared" si="8"/>
        <v>35</v>
      </c>
      <c r="J38" s="68" t="s">
        <v>92</v>
      </c>
      <c r="K38" s="68"/>
      <c r="L38" s="70">
        <v>0</v>
      </c>
      <c r="M38" s="70">
        <f t="shared" si="9"/>
        <v>0</v>
      </c>
      <c r="N38" s="68"/>
      <c r="O38" s="70">
        <v>0</v>
      </c>
      <c r="P38" s="70">
        <f t="shared" si="10"/>
        <v>0</v>
      </c>
      <c r="Q38" s="70">
        <f t="shared" si="11"/>
        <v>0</v>
      </c>
      <c r="R38" s="68" t="s">
        <v>24</v>
      </c>
      <c r="S38" s="68"/>
      <c r="T38" s="68"/>
      <c r="U38" s="68"/>
      <c r="V38" s="68"/>
      <c r="W38" s="77"/>
      <c r="X38" s="24"/>
    </row>
    <row r="39" ht="19.8" customHeight="1" spans="1:24">
      <c r="A39" s="13"/>
      <c r="G39" s="48"/>
      <c r="H39" s="66"/>
      <c r="I39" s="68">
        <f t="shared" ref="I39:I93" si="12">ROW()-3</f>
        <v>36</v>
      </c>
      <c r="J39" s="68" t="s">
        <v>88</v>
      </c>
      <c r="K39" s="68"/>
      <c r="L39" s="70">
        <v>0</v>
      </c>
      <c r="M39" s="70">
        <f t="shared" ref="M39:M72" si="13">K39*L39</f>
        <v>0</v>
      </c>
      <c r="N39" s="68"/>
      <c r="O39" s="70">
        <v>0</v>
      </c>
      <c r="P39" s="70">
        <f t="shared" ref="P39:P72" si="14">N39*O39</f>
        <v>0</v>
      </c>
      <c r="Q39" s="70">
        <f t="shared" ref="Q39:Q72" si="15">M39-P39</f>
        <v>0</v>
      </c>
      <c r="R39" s="68" t="s">
        <v>24</v>
      </c>
      <c r="S39" s="68"/>
      <c r="T39" s="68"/>
      <c r="U39" s="68"/>
      <c r="V39" s="68"/>
      <c r="W39" s="77"/>
      <c r="X39" s="24"/>
    </row>
    <row r="40" ht="19.8" customHeight="1" spans="1:24">
      <c r="A40" s="13"/>
      <c r="G40" s="48"/>
      <c r="H40" s="66" t="s">
        <v>65</v>
      </c>
      <c r="I40" s="68">
        <f t="shared" si="12"/>
        <v>37</v>
      </c>
      <c r="J40" s="68" t="s">
        <v>93</v>
      </c>
      <c r="K40" s="68"/>
      <c r="L40" s="70">
        <v>0</v>
      </c>
      <c r="M40" s="70">
        <f t="shared" si="13"/>
        <v>0</v>
      </c>
      <c r="N40" s="68"/>
      <c r="O40" s="70">
        <v>0</v>
      </c>
      <c r="P40" s="70">
        <f t="shared" si="14"/>
        <v>0</v>
      </c>
      <c r="Q40" s="70">
        <f t="shared" si="15"/>
        <v>0</v>
      </c>
      <c r="R40" s="68" t="s">
        <v>24</v>
      </c>
      <c r="S40" s="68"/>
      <c r="T40" s="68"/>
      <c r="U40" s="68"/>
      <c r="V40" s="68"/>
      <c r="W40" s="77" t="s">
        <v>67</v>
      </c>
      <c r="X40" s="24"/>
    </row>
    <row r="41" ht="19.8" customHeight="1" spans="1:24">
      <c r="A41" s="13"/>
      <c r="G41" s="48"/>
      <c r="H41" s="66" t="s">
        <v>94</v>
      </c>
      <c r="I41" s="68">
        <f t="shared" si="12"/>
        <v>38</v>
      </c>
      <c r="J41" s="68" t="s">
        <v>95</v>
      </c>
      <c r="K41" s="68"/>
      <c r="L41" s="70">
        <v>0</v>
      </c>
      <c r="M41" s="70">
        <f t="shared" si="13"/>
        <v>0</v>
      </c>
      <c r="N41" s="68"/>
      <c r="O41" s="70">
        <v>0</v>
      </c>
      <c r="P41" s="70">
        <f t="shared" si="14"/>
        <v>0</v>
      </c>
      <c r="Q41" s="70">
        <f t="shared" si="15"/>
        <v>0</v>
      </c>
      <c r="R41" s="68" t="s">
        <v>24</v>
      </c>
      <c r="S41" s="68"/>
      <c r="T41" s="68"/>
      <c r="U41" s="68"/>
      <c r="V41" s="68"/>
      <c r="W41" s="77" t="s">
        <v>96</v>
      </c>
      <c r="X41" s="24"/>
    </row>
    <row r="42" ht="19.8" customHeight="1" spans="1:24">
      <c r="A42" s="13"/>
      <c r="G42" s="48"/>
      <c r="H42" s="66" t="s">
        <v>97</v>
      </c>
      <c r="I42" s="68">
        <f t="shared" si="12"/>
        <v>39</v>
      </c>
      <c r="J42" s="68" t="s">
        <v>98</v>
      </c>
      <c r="K42" s="68"/>
      <c r="L42" s="70">
        <v>0</v>
      </c>
      <c r="M42" s="70">
        <f t="shared" si="13"/>
        <v>0</v>
      </c>
      <c r="N42" s="68"/>
      <c r="O42" s="70">
        <v>0</v>
      </c>
      <c r="P42" s="70">
        <f t="shared" si="14"/>
        <v>0</v>
      </c>
      <c r="Q42" s="70">
        <f t="shared" si="15"/>
        <v>0</v>
      </c>
      <c r="R42" s="68" t="s">
        <v>24</v>
      </c>
      <c r="S42" s="68"/>
      <c r="T42" s="68"/>
      <c r="U42" s="68"/>
      <c r="V42" s="68"/>
      <c r="W42" s="77" t="s">
        <v>99</v>
      </c>
      <c r="X42" s="24"/>
    </row>
    <row r="43" ht="19.8" customHeight="1" spans="1:24">
      <c r="A43" s="13"/>
      <c r="G43" s="48"/>
      <c r="H43" s="66"/>
      <c r="I43" s="68">
        <f t="shared" si="12"/>
        <v>40</v>
      </c>
      <c r="J43" s="68" t="s">
        <v>100</v>
      </c>
      <c r="K43" s="68"/>
      <c r="L43" s="70">
        <v>0</v>
      </c>
      <c r="M43" s="70">
        <f t="shared" si="13"/>
        <v>0</v>
      </c>
      <c r="N43" s="68"/>
      <c r="O43" s="70">
        <v>0</v>
      </c>
      <c r="P43" s="70">
        <f t="shared" si="14"/>
        <v>0</v>
      </c>
      <c r="Q43" s="70">
        <f t="shared" si="15"/>
        <v>0</v>
      </c>
      <c r="R43" s="68" t="s">
        <v>24</v>
      </c>
      <c r="S43" s="68"/>
      <c r="T43" s="68"/>
      <c r="U43" s="68"/>
      <c r="V43" s="68"/>
      <c r="W43" s="77"/>
      <c r="X43" s="24"/>
    </row>
    <row r="44" ht="19.8" customHeight="1" spans="1:24">
      <c r="A44" s="13"/>
      <c r="G44" s="48"/>
      <c r="H44" s="66"/>
      <c r="I44" s="68">
        <f t="shared" si="12"/>
        <v>41</v>
      </c>
      <c r="J44" s="68" t="s">
        <v>101</v>
      </c>
      <c r="K44" s="68"/>
      <c r="L44" s="70">
        <v>0</v>
      </c>
      <c r="M44" s="70">
        <f t="shared" si="13"/>
        <v>0</v>
      </c>
      <c r="N44" s="68"/>
      <c r="O44" s="70">
        <v>0</v>
      </c>
      <c r="P44" s="70">
        <f t="shared" si="14"/>
        <v>0</v>
      </c>
      <c r="Q44" s="70">
        <f t="shared" si="15"/>
        <v>0</v>
      </c>
      <c r="R44" s="68" t="s">
        <v>24</v>
      </c>
      <c r="S44" s="68"/>
      <c r="T44" s="68"/>
      <c r="U44" s="68"/>
      <c r="V44" s="68"/>
      <c r="W44" s="77"/>
      <c r="X44" s="24"/>
    </row>
    <row r="45" ht="19.8" customHeight="1" spans="1:24">
      <c r="A45" s="13"/>
      <c r="G45" s="48"/>
      <c r="H45" s="66" t="s">
        <v>102</v>
      </c>
      <c r="I45" s="68">
        <f t="shared" si="12"/>
        <v>42</v>
      </c>
      <c r="J45" s="68" t="s">
        <v>103</v>
      </c>
      <c r="K45" s="68"/>
      <c r="L45" s="70">
        <v>0</v>
      </c>
      <c r="M45" s="70">
        <f t="shared" si="13"/>
        <v>0</v>
      </c>
      <c r="N45" s="68"/>
      <c r="O45" s="70">
        <v>0</v>
      </c>
      <c r="P45" s="70">
        <f t="shared" si="14"/>
        <v>0</v>
      </c>
      <c r="Q45" s="70">
        <f t="shared" si="15"/>
        <v>0</v>
      </c>
      <c r="R45" s="68" t="s">
        <v>24</v>
      </c>
      <c r="S45" s="68"/>
      <c r="T45" s="68"/>
      <c r="U45" s="68"/>
      <c r="V45" s="68"/>
      <c r="W45" s="77"/>
      <c r="X45" s="24"/>
    </row>
    <row r="46" ht="19.8" customHeight="1" spans="1:24">
      <c r="A46" s="13"/>
      <c r="G46" s="48"/>
      <c r="H46" s="66"/>
      <c r="I46" s="68">
        <f t="shared" si="12"/>
        <v>43</v>
      </c>
      <c r="J46" s="68" t="s">
        <v>104</v>
      </c>
      <c r="K46" s="68"/>
      <c r="L46" s="70">
        <v>0</v>
      </c>
      <c r="M46" s="70">
        <f t="shared" si="13"/>
        <v>0</v>
      </c>
      <c r="N46" s="68"/>
      <c r="O46" s="70">
        <v>0</v>
      </c>
      <c r="P46" s="70">
        <f t="shared" si="14"/>
        <v>0</v>
      </c>
      <c r="Q46" s="70">
        <f t="shared" si="15"/>
        <v>0</v>
      </c>
      <c r="R46" s="68" t="s">
        <v>24</v>
      </c>
      <c r="S46" s="68"/>
      <c r="T46" s="68"/>
      <c r="U46" s="68"/>
      <c r="V46" s="68"/>
      <c r="W46" s="77"/>
      <c r="X46" s="24"/>
    </row>
    <row r="47" ht="19.8" customHeight="1" spans="1:24">
      <c r="A47" s="13"/>
      <c r="G47" s="48"/>
      <c r="H47" s="66"/>
      <c r="I47" s="68">
        <f t="shared" si="12"/>
        <v>44</v>
      </c>
      <c r="J47" s="68" t="s">
        <v>105</v>
      </c>
      <c r="K47" s="68"/>
      <c r="L47" s="70">
        <v>0</v>
      </c>
      <c r="M47" s="70">
        <f t="shared" si="13"/>
        <v>0</v>
      </c>
      <c r="N47" s="68"/>
      <c r="O47" s="70">
        <v>0</v>
      </c>
      <c r="P47" s="70">
        <f t="shared" si="14"/>
        <v>0</v>
      </c>
      <c r="Q47" s="70">
        <f t="shared" si="15"/>
        <v>0</v>
      </c>
      <c r="R47" s="68" t="s">
        <v>24</v>
      </c>
      <c r="S47" s="68"/>
      <c r="T47" s="68"/>
      <c r="U47" s="68"/>
      <c r="V47" s="68"/>
      <c r="W47" s="77"/>
      <c r="X47" s="24"/>
    </row>
    <row r="48" ht="19.8" customHeight="1" spans="1:24">
      <c r="A48" s="13"/>
      <c r="G48" s="48"/>
      <c r="H48" s="66"/>
      <c r="I48" s="68">
        <f t="shared" si="12"/>
        <v>45</v>
      </c>
      <c r="J48" s="68" t="s">
        <v>106</v>
      </c>
      <c r="K48" s="68"/>
      <c r="L48" s="70">
        <v>0</v>
      </c>
      <c r="M48" s="70">
        <f t="shared" si="13"/>
        <v>0</v>
      </c>
      <c r="N48" s="68"/>
      <c r="O48" s="70">
        <v>0</v>
      </c>
      <c r="P48" s="70">
        <f t="shared" si="14"/>
        <v>0</v>
      </c>
      <c r="Q48" s="70">
        <f t="shared" si="15"/>
        <v>0</v>
      </c>
      <c r="R48" s="68" t="s">
        <v>24</v>
      </c>
      <c r="S48" s="68"/>
      <c r="T48" s="68"/>
      <c r="U48" s="68"/>
      <c r="V48" s="68"/>
      <c r="W48" s="77" t="s">
        <v>107</v>
      </c>
      <c r="X48" s="24"/>
    </row>
    <row r="49" ht="19.8" customHeight="1" spans="1:24">
      <c r="A49" s="13"/>
      <c r="G49" s="48"/>
      <c r="H49" s="66" t="s">
        <v>108</v>
      </c>
      <c r="I49" s="68">
        <f t="shared" si="12"/>
        <v>46</v>
      </c>
      <c r="J49" s="68" t="s">
        <v>109</v>
      </c>
      <c r="K49" s="68"/>
      <c r="L49" s="70">
        <v>0</v>
      </c>
      <c r="M49" s="70">
        <f t="shared" si="13"/>
        <v>0</v>
      </c>
      <c r="N49" s="68"/>
      <c r="O49" s="70">
        <v>0</v>
      </c>
      <c r="P49" s="70">
        <f t="shared" si="14"/>
        <v>0</v>
      </c>
      <c r="Q49" s="70">
        <f t="shared" si="15"/>
        <v>0</v>
      </c>
      <c r="R49" s="68" t="s">
        <v>24</v>
      </c>
      <c r="S49" s="68"/>
      <c r="T49" s="68"/>
      <c r="U49" s="68"/>
      <c r="V49" s="68"/>
      <c r="W49" s="77" t="s">
        <v>110</v>
      </c>
      <c r="X49" s="24"/>
    </row>
    <row r="50" ht="19.8" customHeight="1" spans="1:24">
      <c r="A50" s="13"/>
      <c r="G50" s="48"/>
      <c r="H50" s="66"/>
      <c r="I50" s="68">
        <f t="shared" si="12"/>
        <v>47</v>
      </c>
      <c r="J50" s="68" t="s">
        <v>111</v>
      </c>
      <c r="K50" s="68"/>
      <c r="L50" s="70">
        <v>0</v>
      </c>
      <c r="M50" s="70">
        <f t="shared" si="13"/>
        <v>0</v>
      </c>
      <c r="N50" s="68"/>
      <c r="O50" s="70">
        <v>0</v>
      </c>
      <c r="P50" s="70">
        <f t="shared" si="14"/>
        <v>0</v>
      </c>
      <c r="Q50" s="70">
        <f t="shared" si="15"/>
        <v>0</v>
      </c>
      <c r="R50" s="68" t="s">
        <v>24</v>
      </c>
      <c r="S50" s="68"/>
      <c r="T50" s="68"/>
      <c r="U50" s="68"/>
      <c r="V50" s="68"/>
      <c r="W50" s="77"/>
      <c r="X50" s="24"/>
    </row>
    <row r="51" ht="19.8" customHeight="1" spans="1:24">
      <c r="A51" s="13"/>
      <c r="G51" s="48"/>
      <c r="H51" s="66"/>
      <c r="I51" s="68">
        <f t="shared" si="12"/>
        <v>48</v>
      </c>
      <c r="J51" s="68" t="s">
        <v>112</v>
      </c>
      <c r="K51" s="68"/>
      <c r="L51" s="70">
        <v>0</v>
      </c>
      <c r="M51" s="70">
        <f t="shared" si="13"/>
        <v>0</v>
      </c>
      <c r="N51" s="68"/>
      <c r="O51" s="70">
        <v>0</v>
      </c>
      <c r="P51" s="70">
        <f t="shared" si="14"/>
        <v>0</v>
      </c>
      <c r="Q51" s="70">
        <f t="shared" si="15"/>
        <v>0</v>
      </c>
      <c r="R51" s="68" t="s">
        <v>24</v>
      </c>
      <c r="S51" s="68"/>
      <c r="T51" s="68"/>
      <c r="U51" s="68"/>
      <c r="V51" s="68"/>
      <c r="W51" s="77"/>
      <c r="X51" s="24"/>
    </row>
    <row r="52" ht="19.8" customHeight="1" spans="1:24">
      <c r="A52" s="13"/>
      <c r="G52" s="48"/>
      <c r="H52" s="66"/>
      <c r="I52" s="68">
        <f t="shared" si="12"/>
        <v>49</v>
      </c>
      <c r="J52" s="68" t="s">
        <v>113</v>
      </c>
      <c r="K52" s="68"/>
      <c r="L52" s="70">
        <v>0</v>
      </c>
      <c r="M52" s="70">
        <f t="shared" si="13"/>
        <v>0</v>
      </c>
      <c r="N52" s="68"/>
      <c r="O52" s="70">
        <v>0</v>
      </c>
      <c r="P52" s="70">
        <f t="shared" si="14"/>
        <v>0</v>
      </c>
      <c r="Q52" s="70">
        <f t="shared" si="15"/>
        <v>0</v>
      </c>
      <c r="R52" s="68" t="s">
        <v>24</v>
      </c>
      <c r="S52" s="68"/>
      <c r="T52" s="68"/>
      <c r="U52" s="68"/>
      <c r="V52" s="68"/>
      <c r="W52" s="77"/>
      <c r="X52" s="24"/>
    </row>
    <row r="53" ht="19.8" customHeight="1" spans="1:24">
      <c r="A53" s="13"/>
      <c r="G53" s="48"/>
      <c r="H53" s="66" t="s">
        <v>114</v>
      </c>
      <c r="I53" s="68">
        <f t="shared" si="12"/>
        <v>50</v>
      </c>
      <c r="J53" s="68" t="s">
        <v>115</v>
      </c>
      <c r="K53" s="68"/>
      <c r="L53" s="70">
        <v>0</v>
      </c>
      <c r="M53" s="70">
        <f t="shared" si="13"/>
        <v>0</v>
      </c>
      <c r="N53" s="68"/>
      <c r="O53" s="70">
        <v>0</v>
      </c>
      <c r="P53" s="70">
        <f t="shared" si="14"/>
        <v>0</v>
      </c>
      <c r="Q53" s="70">
        <f t="shared" si="15"/>
        <v>0</v>
      </c>
      <c r="R53" s="68" t="s">
        <v>24</v>
      </c>
      <c r="S53" s="68"/>
      <c r="T53" s="68"/>
      <c r="U53" s="68"/>
      <c r="V53" s="68"/>
      <c r="W53" s="77" t="s">
        <v>116</v>
      </c>
      <c r="X53" s="24"/>
    </row>
    <row r="54" ht="19.8" customHeight="1" spans="1:24">
      <c r="A54" s="13"/>
      <c r="G54" s="48" t="s">
        <v>117</v>
      </c>
      <c r="H54" s="66" t="s">
        <v>118</v>
      </c>
      <c r="I54" s="68">
        <f t="shared" si="12"/>
        <v>51</v>
      </c>
      <c r="J54" s="68" t="s">
        <v>119</v>
      </c>
      <c r="K54" s="68"/>
      <c r="L54" s="70">
        <v>0</v>
      </c>
      <c r="M54" s="70">
        <f t="shared" si="13"/>
        <v>0</v>
      </c>
      <c r="N54" s="68"/>
      <c r="O54" s="70">
        <v>0</v>
      </c>
      <c r="P54" s="70">
        <f t="shared" si="14"/>
        <v>0</v>
      </c>
      <c r="Q54" s="70">
        <f t="shared" si="15"/>
        <v>0</v>
      </c>
      <c r="R54" s="68" t="s">
        <v>24</v>
      </c>
      <c r="S54" s="68"/>
      <c r="T54" s="68"/>
      <c r="U54" s="68"/>
      <c r="V54" s="68"/>
      <c r="W54" s="77" t="s">
        <v>120</v>
      </c>
      <c r="X54" s="24"/>
    </row>
    <row r="55" ht="19.8" customHeight="1" spans="1:24">
      <c r="A55" s="13"/>
      <c r="G55" s="48"/>
      <c r="H55" s="66"/>
      <c r="I55" s="68">
        <f t="shared" si="12"/>
        <v>52</v>
      </c>
      <c r="J55" s="68" t="s">
        <v>121</v>
      </c>
      <c r="K55" s="68"/>
      <c r="L55" s="70">
        <v>0</v>
      </c>
      <c r="M55" s="70">
        <f t="shared" si="13"/>
        <v>0</v>
      </c>
      <c r="N55" s="68"/>
      <c r="O55" s="70">
        <v>0</v>
      </c>
      <c r="P55" s="70">
        <f t="shared" si="14"/>
        <v>0</v>
      </c>
      <c r="Q55" s="70">
        <f t="shared" si="15"/>
        <v>0</v>
      </c>
      <c r="R55" s="68" t="s">
        <v>24</v>
      </c>
      <c r="S55" s="68"/>
      <c r="T55" s="68"/>
      <c r="U55" s="68"/>
      <c r="V55" s="68"/>
      <c r="W55" s="77"/>
      <c r="X55" s="24"/>
    </row>
    <row r="56" ht="19.8" customHeight="1" spans="1:24">
      <c r="A56" s="13"/>
      <c r="G56" s="48"/>
      <c r="H56" s="66"/>
      <c r="I56" s="68">
        <f t="shared" si="12"/>
        <v>53</v>
      </c>
      <c r="J56" s="68" t="s">
        <v>122</v>
      </c>
      <c r="K56" s="68"/>
      <c r="L56" s="70">
        <v>0</v>
      </c>
      <c r="M56" s="70">
        <f t="shared" si="13"/>
        <v>0</v>
      </c>
      <c r="N56" s="68"/>
      <c r="O56" s="70">
        <v>0</v>
      </c>
      <c r="P56" s="70">
        <f t="shared" si="14"/>
        <v>0</v>
      </c>
      <c r="Q56" s="70">
        <f t="shared" si="15"/>
        <v>0</v>
      </c>
      <c r="R56" s="68" t="s">
        <v>24</v>
      </c>
      <c r="S56" s="68"/>
      <c r="T56" s="68"/>
      <c r="U56" s="68"/>
      <c r="V56" s="68"/>
      <c r="W56" s="77"/>
      <c r="X56" s="24"/>
    </row>
    <row r="57" ht="19.8" customHeight="1" spans="1:24">
      <c r="A57" s="13"/>
      <c r="G57" s="48"/>
      <c r="H57" s="66" t="s">
        <v>123</v>
      </c>
      <c r="I57" s="68">
        <f t="shared" si="12"/>
        <v>54</v>
      </c>
      <c r="J57" s="68" t="s">
        <v>124</v>
      </c>
      <c r="K57" s="68"/>
      <c r="L57" s="70">
        <v>0</v>
      </c>
      <c r="M57" s="70">
        <f t="shared" si="13"/>
        <v>0</v>
      </c>
      <c r="N57" s="68"/>
      <c r="O57" s="70">
        <v>0</v>
      </c>
      <c r="P57" s="70">
        <f t="shared" si="14"/>
        <v>0</v>
      </c>
      <c r="Q57" s="70">
        <f t="shared" si="15"/>
        <v>0</v>
      </c>
      <c r="R57" s="68" t="s">
        <v>24</v>
      </c>
      <c r="S57" s="68"/>
      <c r="T57" s="68"/>
      <c r="U57" s="68"/>
      <c r="V57" s="68"/>
      <c r="W57" s="77" t="s">
        <v>125</v>
      </c>
      <c r="X57" s="24"/>
    </row>
    <row r="58" ht="19.8" customHeight="1" spans="1:24">
      <c r="A58" s="13"/>
      <c r="G58" s="48"/>
      <c r="H58" s="66"/>
      <c r="I58" s="68">
        <f t="shared" si="12"/>
        <v>55</v>
      </c>
      <c r="J58" s="68" t="s">
        <v>126</v>
      </c>
      <c r="K58" s="68"/>
      <c r="L58" s="70">
        <v>0</v>
      </c>
      <c r="M58" s="70">
        <f t="shared" si="13"/>
        <v>0</v>
      </c>
      <c r="N58" s="68"/>
      <c r="O58" s="70">
        <v>0</v>
      </c>
      <c r="P58" s="70">
        <f t="shared" si="14"/>
        <v>0</v>
      </c>
      <c r="Q58" s="70">
        <f t="shared" si="15"/>
        <v>0</v>
      </c>
      <c r="R58" s="68" t="s">
        <v>24</v>
      </c>
      <c r="S58" s="68"/>
      <c r="T58" s="68"/>
      <c r="U58" s="68"/>
      <c r="V58" s="68"/>
      <c r="W58" s="77"/>
      <c r="X58" s="24"/>
    </row>
    <row r="59" ht="19.8" customHeight="1" spans="1:24">
      <c r="A59" s="13"/>
      <c r="G59" s="48"/>
      <c r="H59" s="66"/>
      <c r="I59" s="68">
        <f t="shared" si="12"/>
        <v>56</v>
      </c>
      <c r="J59" s="68" t="s">
        <v>127</v>
      </c>
      <c r="K59" s="68"/>
      <c r="L59" s="70">
        <v>0</v>
      </c>
      <c r="M59" s="70">
        <f t="shared" si="13"/>
        <v>0</v>
      </c>
      <c r="N59" s="68"/>
      <c r="O59" s="70">
        <v>0</v>
      </c>
      <c r="P59" s="70">
        <f t="shared" si="14"/>
        <v>0</v>
      </c>
      <c r="Q59" s="70">
        <f t="shared" si="15"/>
        <v>0</v>
      </c>
      <c r="R59" s="68" t="s">
        <v>24</v>
      </c>
      <c r="S59" s="68"/>
      <c r="T59" s="68"/>
      <c r="U59" s="68"/>
      <c r="V59" s="68"/>
      <c r="W59" s="77"/>
      <c r="X59" s="24"/>
    </row>
    <row r="60" ht="19.8" customHeight="1" spans="1:24">
      <c r="A60" s="13"/>
      <c r="G60" s="48"/>
      <c r="H60" s="66" t="s">
        <v>128</v>
      </c>
      <c r="I60" s="68">
        <f t="shared" si="12"/>
        <v>57</v>
      </c>
      <c r="J60" s="68" t="s">
        <v>129</v>
      </c>
      <c r="K60" s="68"/>
      <c r="L60" s="70">
        <v>0</v>
      </c>
      <c r="M60" s="70">
        <f t="shared" si="13"/>
        <v>0</v>
      </c>
      <c r="N60" s="68"/>
      <c r="O60" s="70">
        <v>0</v>
      </c>
      <c r="P60" s="70">
        <f t="shared" si="14"/>
        <v>0</v>
      </c>
      <c r="Q60" s="70">
        <f t="shared" si="15"/>
        <v>0</v>
      </c>
      <c r="R60" s="68" t="s">
        <v>24</v>
      </c>
      <c r="S60" s="68"/>
      <c r="T60" s="68"/>
      <c r="U60" s="68"/>
      <c r="V60" s="68"/>
      <c r="W60" s="77"/>
      <c r="X60" s="24"/>
    </row>
    <row r="61" ht="19.8" customHeight="1" spans="1:24">
      <c r="A61" s="13"/>
      <c r="G61" s="48"/>
      <c r="H61" s="66" t="s">
        <v>130</v>
      </c>
      <c r="I61" s="68">
        <f t="shared" si="12"/>
        <v>58</v>
      </c>
      <c r="J61" s="68" t="s">
        <v>131</v>
      </c>
      <c r="K61" s="68"/>
      <c r="L61" s="70">
        <v>0</v>
      </c>
      <c r="M61" s="70">
        <f t="shared" si="13"/>
        <v>0</v>
      </c>
      <c r="N61" s="68"/>
      <c r="O61" s="70">
        <v>0</v>
      </c>
      <c r="P61" s="70">
        <f t="shared" si="14"/>
        <v>0</v>
      </c>
      <c r="Q61" s="70">
        <f t="shared" si="15"/>
        <v>0</v>
      </c>
      <c r="R61" s="68" t="s">
        <v>24</v>
      </c>
      <c r="S61" s="68"/>
      <c r="T61" s="68"/>
      <c r="U61" s="68"/>
      <c r="V61" s="68"/>
      <c r="W61" s="77" t="s">
        <v>132</v>
      </c>
      <c r="X61" s="24"/>
    </row>
    <row r="62" ht="19.8" customHeight="1" spans="1:24">
      <c r="A62" s="13"/>
      <c r="G62" s="48"/>
      <c r="H62" s="66"/>
      <c r="I62" s="68">
        <f t="shared" si="12"/>
        <v>59</v>
      </c>
      <c r="J62" s="68" t="s">
        <v>133</v>
      </c>
      <c r="K62" s="68"/>
      <c r="L62" s="70">
        <v>0</v>
      </c>
      <c r="M62" s="70">
        <f t="shared" si="13"/>
        <v>0</v>
      </c>
      <c r="N62" s="68"/>
      <c r="O62" s="70">
        <v>0</v>
      </c>
      <c r="P62" s="70">
        <f t="shared" si="14"/>
        <v>0</v>
      </c>
      <c r="Q62" s="70">
        <f t="shared" si="15"/>
        <v>0</v>
      </c>
      <c r="R62" s="68" t="s">
        <v>24</v>
      </c>
      <c r="S62" s="68"/>
      <c r="T62" s="68"/>
      <c r="U62" s="68"/>
      <c r="V62" s="68"/>
      <c r="W62" s="77"/>
      <c r="X62" s="24"/>
    </row>
    <row r="63" ht="19.8" customHeight="1" spans="1:24">
      <c r="A63" s="13"/>
      <c r="G63" s="48"/>
      <c r="H63" s="66" t="s">
        <v>134</v>
      </c>
      <c r="I63" s="68">
        <f t="shared" si="12"/>
        <v>60</v>
      </c>
      <c r="J63" s="68" t="s">
        <v>135</v>
      </c>
      <c r="K63" s="68"/>
      <c r="L63" s="70">
        <v>0</v>
      </c>
      <c r="M63" s="70">
        <f t="shared" si="13"/>
        <v>0</v>
      </c>
      <c r="N63" s="68"/>
      <c r="O63" s="70">
        <v>0</v>
      </c>
      <c r="P63" s="70">
        <f t="shared" si="14"/>
        <v>0</v>
      </c>
      <c r="Q63" s="70">
        <f t="shared" si="15"/>
        <v>0</v>
      </c>
      <c r="R63" s="68" t="s">
        <v>24</v>
      </c>
      <c r="S63" s="68"/>
      <c r="T63" s="68"/>
      <c r="U63" s="68"/>
      <c r="V63" s="68"/>
      <c r="W63" s="77"/>
      <c r="X63" s="24"/>
    </row>
    <row r="64" ht="19.8" customHeight="1" spans="1:24">
      <c r="A64" s="13"/>
      <c r="G64" s="48" t="s">
        <v>136</v>
      </c>
      <c r="H64" s="66" t="s">
        <v>137</v>
      </c>
      <c r="I64" s="68">
        <f t="shared" si="12"/>
        <v>61</v>
      </c>
      <c r="J64" s="68" t="s">
        <v>138</v>
      </c>
      <c r="K64" s="68"/>
      <c r="L64" s="70">
        <v>0</v>
      </c>
      <c r="M64" s="70">
        <f t="shared" si="13"/>
        <v>0</v>
      </c>
      <c r="N64" s="68"/>
      <c r="O64" s="70">
        <v>0</v>
      </c>
      <c r="P64" s="70">
        <f t="shared" si="14"/>
        <v>0</v>
      </c>
      <c r="Q64" s="70">
        <f t="shared" si="15"/>
        <v>0</v>
      </c>
      <c r="R64" s="68" t="s">
        <v>24</v>
      </c>
      <c r="S64" s="68"/>
      <c r="T64" s="68"/>
      <c r="U64" s="68"/>
      <c r="V64" s="68"/>
      <c r="W64" s="77" t="s">
        <v>120</v>
      </c>
      <c r="X64" s="24"/>
    </row>
    <row r="65" ht="19.8" customHeight="1" spans="1:24">
      <c r="A65" s="13"/>
      <c r="G65" s="48"/>
      <c r="H65" s="66"/>
      <c r="I65" s="68">
        <f t="shared" si="12"/>
        <v>62</v>
      </c>
      <c r="J65" s="68" t="s">
        <v>139</v>
      </c>
      <c r="K65" s="68"/>
      <c r="L65" s="70">
        <v>0</v>
      </c>
      <c r="M65" s="70">
        <f t="shared" si="13"/>
        <v>0</v>
      </c>
      <c r="N65" s="68"/>
      <c r="O65" s="70">
        <v>0</v>
      </c>
      <c r="P65" s="70">
        <f t="shared" si="14"/>
        <v>0</v>
      </c>
      <c r="Q65" s="70">
        <f t="shared" si="15"/>
        <v>0</v>
      </c>
      <c r="R65" s="68" t="s">
        <v>24</v>
      </c>
      <c r="S65" s="68"/>
      <c r="T65" s="68"/>
      <c r="U65" s="68"/>
      <c r="V65" s="68"/>
      <c r="W65" s="77"/>
      <c r="X65" s="24"/>
    </row>
    <row r="66" ht="19.8" customHeight="1" spans="1:24">
      <c r="A66" s="13"/>
      <c r="G66" s="48"/>
      <c r="H66" s="66"/>
      <c r="I66" s="68">
        <f t="shared" si="12"/>
        <v>63</v>
      </c>
      <c r="J66" s="68" t="s">
        <v>140</v>
      </c>
      <c r="K66" s="68"/>
      <c r="L66" s="70">
        <v>0</v>
      </c>
      <c r="M66" s="70">
        <f t="shared" si="13"/>
        <v>0</v>
      </c>
      <c r="N66" s="68"/>
      <c r="O66" s="70">
        <v>0</v>
      </c>
      <c r="P66" s="70">
        <f t="shared" si="14"/>
        <v>0</v>
      </c>
      <c r="Q66" s="70">
        <f t="shared" si="15"/>
        <v>0</v>
      </c>
      <c r="R66" s="68" t="s">
        <v>24</v>
      </c>
      <c r="S66" s="68"/>
      <c r="T66" s="68"/>
      <c r="U66" s="68"/>
      <c r="V66" s="68"/>
      <c r="W66" s="77"/>
      <c r="X66" s="24"/>
    </row>
    <row r="67" ht="19.8" customHeight="1" spans="1:24">
      <c r="A67" s="13"/>
      <c r="G67" s="48"/>
      <c r="H67" s="66" t="s">
        <v>134</v>
      </c>
      <c r="I67" s="68">
        <f t="shared" si="12"/>
        <v>64</v>
      </c>
      <c r="J67" s="68" t="s">
        <v>141</v>
      </c>
      <c r="K67" s="68"/>
      <c r="L67" s="70">
        <v>0</v>
      </c>
      <c r="M67" s="70">
        <f t="shared" si="13"/>
        <v>0</v>
      </c>
      <c r="N67" s="68"/>
      <c r="O67" s="70">
        <v>0</v>
      </c>
      <c r="P67" s="70">
        <f t="shared" si="14"/>
        <v>0</v>
      </c>
      <c r="Q67" s="70">
        <f t="shared" si="15"/>
        <v>0</v>
      </c>
      <c r="R67" s="68" t="s">
        <v>24</v>
      </c>
      <c r="S67" s="68"/>
      <c r="T67" s="68"/>
      <c r="U67" s="68"/>
      <c r="V67" s="68"/>
      <c r="W67" s="77"/>
      <c r="X67" s="24"/>
    </row>
    <row r="68" ht="19.8" customHeight="1" spans="1:24">
      <c r="A68" s="13"/>
      <c r="G68" s="48"/>
      <c r="H68" s="66"/>
      <c r="I68" s="68">
        <f t="shared" si="12"/>
        <v>65</v>
      </c>
      <c r="J68" s="68" t="s">
        <v>142</v>
      </c>
      <c r="K68" s="68"/>
      <c r="L68" s="70">
        <v>0</v>
      </c>
      <c r="M68" s="70">
        <f t="shared" si="13"/>
        <v>0</v>
      </c>
      <c r="N68" s="68"/>
      <c r="O68" s="70">
        <v>0</v>
      </c>
      <c r="P68" s="70">
        <f t="shared" si="14"/>
        <v>0</v>
      </c>
      <c r="Q68" s="70">
        <f t="shared" si="15"/>
        <v>0</v>
      </c>
      <c r="R68" s="68" t="s">
        <v>24</v>
      </c>
      <c r="S68" s="68"/>
      <c r="T68" s="68"/>
      <c r="U68" s="68"/>
      <c r="V68" s="68"/>
      <c r="W68" s="77"/>
      <c r="X68" s="24"/>
    </row>
    <row r="69" ht="19.8" customHeight="1" spans="1:24">
      <c r="A69" s="13"/>
      <c r="G69" s="48"/>
      <c r="H69" s="66"/>
      <c r="I69" s="68">
        <f t="shared" si="12"/>
        <v>66</v>
      </c>
      <c r="J69" s="68" t="s">
        <v>143</v>
      </c>
      <c r="K69" s="68"/>
      <c r="L69" s="70">
        <v>0</v>
      </c>
      <c r="M69" s="70">
        <f t="shared" si="13"/>
        <v>0</v>
      </c>
      <c r="N69" s="68"/>
      <c r="O69" s="70">
        <v>0</v>
      </c>
      <c r="P69" s="70">
        <f t="shared" si="14"/>
        <v>0</v>
      </c>
      <c r="Q69" s="70">
        <f t="shared" si="15"/>
        <v>0</v>
      </c>
      <c r="R69" s="68" t="s">
        <v>24</v>
      </c>
      <c r="S69" s="68"/>
      <c r="T69" s="68"/>
      <c r="U69" s="68"/>
      <c r="V69" s="68"/>
      <c r="W69" s="77"/>
      <c r="X69" s="24"/>
    </row>
    <row r="70" ht="19.8" customHeight="1" spans="1:24">
      <c r="A70" s="13"/>
      <c r="G70" s="48" t="s">
        <v>144</v>
      </c>
      <c r="H70" s="66" t="s">
        <v>145</v>
      </c>
      <c r="I70" s="68">
        <f t="shared" si="12"/>
        <v>67</v>
      </c>
      <c r="J70" s="68" t="s">
        <v>146</v>
      </c>
      <c r="K70" s="68"/>
      <c r="L70" s="70">
        <v>0</v>
      </c>
      <c r="M70" s="70">
        <f t="shared" si="13"/>
        <v>0</v>
      </c>
      <c r="N70" s="68"/>
      <c r="O70" s="70">
        <v>0</v>
      </c>
      <c r="P70" s="70">
        <f t="shared" si="14"/>
        <v>0</v>
      </c>
      <c r="Q70" s="70">
        <f t="shared" si="15"/>
        <v>0</v>
      </c>
      <c r="R70" s="68" t="s">
        <v>24</v>
      </c>
      <c r="S70" s="68"/>
      <c r="T70" s="68"/>
      <c r="U70" s="68"/>
      <c r="V70" s="68"/>
      <c r="W70" s="77" t="s">
        <v>67</v>
      </c>
      <c r="X70" s="24"/>
    </row>
    <row r="71" ht="19.8" customHeight="1" spans="1:24">
      <c r="A71" s="13"/>
      <c r="G71" s="48"/>
      <c r="H71" s="66"/>
      <c r="I71" s="68">
        <f t="shared" si="12"/>
        <v>68</v>
      </c>
      <c r="J71" s="68" t="s">
        <v>147</v>
      </c>
      <c r="K71" s="68"/>
      <c r="L71" s="70">
        <v>0</v>
      </c>
      <c r="M71" s="70">
        <f t="shared" si="13"/>
        <v>0</v>
      </c>
      <c r="N71" s="68"/>
      <c r="O71" s="70">
        <v>0</v>
      </c>
      <c r="P71" s="70">
        <f t="shared" si="14"/>
        <v>0</v>
      </c>
      <c r="Q71" s="70">
        <f t="shared" si="15"/>
        <v>0</v>
      </c>
      <c r="R71" s="68" t="s">
        <v>24</v>
      </c>
      <c r="S71" s="68"/>
      <c r="T71" s="68"/>
      <c r="U71" s="68"/>
      <c r="V71" s="68"/>
      <c r="W71" s="77"/>
      <c r="X71" s="24"/>
    </row>
    <row r="72" ht="19.8" customHeight="1" spans="1:24">
      <c r="A72" s="13"/>
      <c r="G72" s="48"/>
      <c r="H72" s="66"/>
      <c r="I72" s="68">
        <f t="shared" si="12"/>
        <v>69</v>
      </c>
      <c r="J72" s="68" t="s">
        <v>148</v>
      </c>
      <c r="K72" s="68">
        <v>1</v>
      </c>
      <c r="L72" s="70">
        <v>4700</v>
      </c>
      <c r="M72" s="70">
        <f t="shared" si="13"/>
        <v>4700</v>
      </c>
      <c r="N72" s="68">
        <v>1</v>
      </c>
      <c r="O72" s="70">
        <v>4700</v>
      </c>
      <c r="P72" s="70">
        <f t="shared" si="14"/>
        <v>4700</v>
      </c>
      <c r="Q72" s="70">
        <f t="shared" si="15"/>
        <v>0</v>
      </c>
      <c r="R72" s="68" t="s">
        <v>34</v>
      </c>
      <c r="S72" s="68"/>
      <c r="T72" s="68"/>
      <c r="U72" s="68"/>
      <c r="V72" s="68"/>
      <c r="W72" s="77"/>
      <c r="X72" s="24"/>
    </row>
    <row r="73" ht="19.8" customHeight="1" spans="1:24">
      <c r="A73" s="13"/>
      <c r="G73" s="48"/>
      <c r="H73" s="66" t="s">
        <v>149</v>
      </c>
      <c r="I73" s="68">
        <f t="shared" si="12"/>
        <v>70</v>
      </c>
      <c r="J73" s="68" t="s">
        <v>150</v>
      </c>
      <c r="K73" s="68">
        <v>0</v>
      </c>
      <c r="L73" s="70">
        <v>0</v>
      </c>
      <c r="M73" s="70">
        <f t="shared" ref="M73:M86" si="16">K73*L73</f>
        <v>0</v>
      </c>
      <c r="N73" s="68"/>
      <c r="O73" s="70">
        <v>0</v>
      </c>
      <c r="P73" s="70">
        <f t="shared" ref="P73:P86" si="17">N73*O73</f>
        <v>0</v>
      </c>
      <c r="Q73" s="70">
        <f t="shared" ref="Q73:Q86" si="18">M73-P73</f>
        <v>0</v>
      </c>
      <c r="R73" s="68" t="s">
        <v>24</v>
      </c>
      <c r="S73" s="68"/>
      <c r="T73" s="68"/>
      <c r="U73" s="68"/>
      <c r="V73" s="68"/>
      <c r="W73" s="77" t="s">
        <v>151</v>
      </c>
      <c r="X73" s="24"/>
    </row>
    <row r="74" ht="19.8" customHeight="1" spans="1:24">
      <c r="A74" s="13"/>
      <c r="G74" s="48"/>
      <c r="H74" s="66"/>
      <c r="I74" s="68">
        <f t="shared" si="12"/>
        <v>71</v>
      </c>
      <c r="J74" s="68" t="s">
        <v>152</v>
      </c>
      <c r="K74" s="68">
        <v>4</v>
      </c>
      <c r="L74" s="70">
        <v>500</v>
      </c>
      <c r="M74" s="70">
        <f t="shared" si="16"/>
        <v>2000</v>
      </c>
      <c r="N74" s="68">
        <v>4</v>
      </c>
      <c r="O74" s="70">
        <v>738</v>
      </c>
      <c r="P74" s="70">
        <f t="shared" si="17"/>
        <v>2952</v>
      </c>
      <c r="Q74" s="70">
        <f t="shared" si="18"/>
        <v>-952</v>
      </c>
      <c r="R74" s="68" t="s">
        <v>34</v>
      </c>
      <c r="S74" s="68"/>
      <c r="T74" s="68"/>
      <c r="U74" s="68"/>
      <c r="V74" s="68"/>
      <c r="W74" s="77"/>
      <c r="X74" s="24"/>
    </row>
    <row r="75" ht="19.8" customHeight="1" spans="1:24">
      <c r="A75" s="13"/>
      <c r="G75" s="48"/>
      <c r="H75" s="66"/>
      <c r="I75" s="68">
        <f t="shared" si="12"/>
        <v>72</v>
      </c>
      <c r="J75" s="68" t="s">
        <v>153</v>
      </c>
      <c r="K75" s="68">
        <v>2</v>
      </c>
      <c r="L75" s="70">
        <v>300</v>
      </c>
      <c r="M75" s="70">
        <f t="shared" si="16"/>
        <v>600</v>
      </c>
      <c r="N75" s="68">
        <v>2</v>
      </c>
      <c r="O75" s="70">
        <v>328</v>
      </c>
      <c r="P75" s="70">
        <f t="shared" si="17"/>
        <v>656</v>
      </c>
      <c r="Q75" s="70">
        <f t="shared" si="18"/>
        <v>-56</v>
      </c>
      <c r="R75" s="68" t="s">
        <v>34</v>
      </c>
      <c r="S75" s="68"/>
      <c r="T75" s="68"/>
      <c r="U75" s="68"/>
      <c r="V75" s="68"/>
      <c r="W75" s="77"/>
      <c r="X75" s="24"/>
    </row>
    <row r="76" ht="19.8" customHeight="1" spans="1:24">
      <c r="A76" s="13"/>
      <c r="G76" s="48"/>
      <c r="H76" s="66"/>
      <c r="I76" s="68">
        <f t="shared" si="12"/>
        <v>73</v>
      </c>
      <c r="J76" s="68" t="s">
        <v>154</v>
      </c>
      <c r="K76" s="68">
        <v>1</v>
      </c>
      <c r="L76" s="70">
        <v>2666.8</v>
      </c>
      <c r="M76" s="70">
        <f t="shared" si="16"/>
        <v>2666.8</v>
      </c>
      <c r="N76" s="68">
        <v>1</v>
      </c>
      <c r="O76" s="70">
        <v>2666.8</v>
      </c>
      <c r="P76" s="70">
        <f t="shared" si="17"/>
        <v>2666.8</v>
      </c>
      <c r="Q76" s="70">
        <f t="shared" si="18"/>
        <v>0</v>
      </c>
      <c r="R76" s="68" t="s">
        <v>34</v>
      </c>
      <c r="S76" s="68"/>
      <c r="T76" s="68"/>
      <c r="U76" s="68"/>
      <c r="V76" s="68"/>
      <c r="W76" s="77"/>
      <c r="X76" s="24"/>
    </row>
    <row r="77" ht="19.8" customHeight="1" spans="1:24">
      <c r="A77" s="13"/>
      <c r="G77" s="48"/>
      <c r="H77" s="66" t="s">
        <v>155</v>
      </c>
      <c r="I77" s="68">
        <f t="shared" si="12"/>
        <v>74</v>
      </c>
      <c r="J77" s="68" t="s">
        <v>156</v>
      </c>
      <c r="K77" s="68">
        <v>3</v>
      </c>
      <c r="L77" s="70">
        <v>1200</v>
      </c>
      <c r="M77" s="70">
        <f t="shared" si="16"/>
        <v>3600</v>
      </c>
      <c r="N77" s="68">
        <v>3</v>
      </c>
      <c r="O77" s="70">
        <v>980</v>
      </c>
      <c r="P77" s="70">
        <f t="shared" si="17"/>
        <v>2940</v>
      </c>
      <c r="Q77" s="70">
        <f t="shared" si="18"/>
        <v>660</v>
      </c>
      <c r="R77" s="68" t="s">
        <v>24</v>
      </c>
      <c r="S77" s="68"/>
      <c r="T77" s="68"/>
      <c r="U77" s="68"/>
      <c r="V77" s="68"/>
      <c r="W77" s="77" t="s">
        <v>157</v>
      </c>
      <c r="X77" s="24"/>
    </row>
    <row r="78" ht="19.8" customHeight="1" spans="1:24">
      <c r="A78" s="13"/>
      <c r="G78" s="48"/>
      <c r="H78" s="66" t="s">
        <v>158</v>
      </c>
      <c r="I78" s="68">
        <f t="shared" si="12"/>
        <v>75</v>
      </c>
      <c r="J78" s="68" t="s">
        <v>159</v>
      </c>
      <c r="K78" s="68">
        <v>1</v>
      </c>
      <c r="L78" s="70">
        <v>800</v>
      </c>
      <c r="M78" s="70">
        <f t="shared" si="16"/>
        <v>800</v>
      </c>
      <c r="N78" s="68">
        <v>1</v>
      </c>
      <c r="O78" s="70">
        <v>1005</v>
      </c>
      <c r="P78" s="70">
        <f t="shared" si="17"/>
        <v>1005</v>
      </c>
      <c r="Q78" s="70">
        <f t="shared" si="18"/>
        <v>-205</v>
      </c>
      <c r="R78" s="68" t="s">
        <v>34</v>
      </c>
      <c r="S78" s="68"/>
      <c r="T78" s="68"/>
      <c r="U78" s="68"/>
      <c r="V78" s="68"/>
      <c r="W78" s="77"/>
      <c r="X78" s="24"/>
    </row>
    <row r="79" ht="19.8" customHeight="1" spans="1:24">
      <c r="A79" s="13"/>
      <c r="G79" s="48"/>
      <c r="H79" s="66" t="s">
        <v>160</v>
      </c>
      <c r="I79" s="68">
        <f t="shared" si="12"/>
        <v>76</v>
      </c>
      <c r="J79" s="68" t="s">
        <v>160</v>
      </c>
      <c r="K79" s="68">
        <v>1</v>
      </c>
      <c r="L79" s="70">
        <v>23000</v>
      </c>
      <c r="M79" s="70">
        <f t="shared" si="16"/>
        <v>23000</v>
      </c>
      <c r="N79" s="68">
        <v>1</v>
      </c>
      <c r="O79" s="70">
        <v>24500</v>
      </c>
      <c r="P79" s="70">
        <f t="shared" si="17"/>
        <v>24500</v>
      </c>
      <c r="Q79" s="70">
        <f t="shared" si="18"/>
        <v>-1500</v>
      </c>
      <c r="R79" s="68" t="s">
        <v>34</v>
      </c>
      <c r="S79" s="68"/>
      <c r="T79" s="68"/>
      <c r="U79" s="68"/>
      <c r="V79" s="68"/>
      <c r="W79" s="77"/>
      <c r="X79" s="24"/>
    </row>
    <row r="80" ht="19.8" customHeight="1" spans="1:24">
      <c r="A80" s="13"/>
      <c r="G80" s="48"/>
      <c r="H80" s="66" t="s">
        <v>161</v>
      </c>
      <c r="I80" s="68">
        <f t="shared" si="12"/>
        <v>77</v>
      </c>
      <c r="J80" s="68" t="s">
        <v>162</v>
      </c>
      <c r="K80" s="68">
        <v>1</v>
      </c>
      <c r="L80" s="70">
        <v>300</v>
      </c>
      <c r="M80" s="70">
        <f t="shared" si="16"/>
        <v>300</v>
      </c>
      <c r="N80" s="68">
        <v>1</v>
      </c>
      <c r="O80" s="70">
        <v>483</v>
      </c>
      <c r="P80" s="70">
        <f t="shared" si="17"/>
        <v>483</v>
      </c>
      <c r="Q80" s="70">
        <f t="shared" si="18"/>
        <v>-183</v>
      </c>
      <c r="R80" s="68" t="s">
        <v>34</v>
      </c>
      <c r="S80" s="68"/>
      <c r="T80" s="68"/>
      <c r="U80" s="68"/>
      <c r="V80" s="68"/>
      <c r="W80" s="77"/>
      <c r="X80" s="24"/>
    </row>
    <row r="81" ht="19.8" customHeight="1" spans="1:24">
      <c r="A81" s="13"/>
      <c r="G81" s="48"/>
      <c r="H81" s="66" t="s">
        <v>65</v>
      </c>
      <c r="I81" s="68">
        <f t="shared" si="12"/>
        <v>78</v>
      </c>
      <c r="J81" s="68" t="s">
        <v>163</v>
      </c>
      <c r="K81" s="68"/>
      <c r="L81" s="70">
        <v>0</v>
      </c>
      <c r="M81" s="70">
        <f t="shared" si="16"/>
        <v>0</v>
      </c>
      <c r="N81" s="68"/>
      <c r="O81" s="70">
        <v>0</v>
      </c>
      <c r="P81" s="70">
        <f t="shared" si="17"/>
        <v>0</v>
      </c>
      <c r="Q81" s="70">
        <f t="shared" si="18"/>
        <v>0</v>
      </c>
      <c r="R81" s="68" t="s">
        <v>24</v>
      </c>
      <c r="S81" s="68"/>
      <c r="T81" s="68"/>
      <c r="U81" s="68"/>
      <c r="V81" s="68"/>
      <c r="W81" s="77" t="s">
        <v>164</v>
      </c>
      <c r="X81" s="24"/>
    </row>
    <row r="82" ht="19.8" customHeight="1" spans="1:24">
      <c r="A82" s="13"/>
      <c r="G82" s="48" t="s">
        <v>165</v>
      </c>
      <c r="H82" s="66" t="s">
        <v>166</v>
      </c>
      <c r="I82" s="68">
        <f t="shared" si="12"/>
        <v>79</v>
      </c>
      <c r="J82" s="68" t="s">
        <v>167</v>
      </c>
      <c r="K82" s="68"/>
      <c r="L82" s="70">
        <v>0</v>
      </c>
      <c r="M82" s="70">
        <f t="shared" si="16"/>
        <v>0</v>
      </c>
      <c r="N82" s="68"/>
      <c r="O82" s="70">
        <v>0</v>
      </c>
      <c r="P82" s="70">
        <f t="shared" si="17"/>
        <v>0</v>
      </c>
      <c r="Q82" s="70">
        <f t="shared" si="18"/>
        <v>0</v>
      </c>
      <c r="R82" s="68" t="s">
        <v>24</v>
      </c>
      <c r="S82" s="68"/>
      <c r="T82" s="68"/>
      <c r="U82" s="68"/>
      <c r="V82" s="68"/>
      <c r="W82" s="77" t="s">
        <v>67</v>
      </c>
      <c r="X82" s="24"/>
    </row>
    <row r="83" ht="19.8" customHeight="1" spans="1:24">
      <c r="A83" s="13"/>
      <c r="G83" s="48"/>
      <c r="H83" s="66"/>
      <c r="I83" s="68">
        <f t="shared" si="12"/>
        <v>80</v>
      </c>
      <c r="J83" s="68" t="s">
        <v>168</v>
      </c>
      <c r="K83" s="68"/>
      <c r="L83" s="70">
        <v>0</v>
      </c>
      <c r="M83" s="70">
        <f t="shared" si="16"/>
        <v>0</v>
      </c>
      <c r="N83" s="68"/>
      <c r="O83" s="70">
        <v>0</v>
      </c>
      <c r="P83" s="70">
        <f t="shared" si="17"/>
        <v>0</v>
      </c>
      <c r="Q83" s="70">
        <f t="shared" si="18"/>
        <v>0</v>
      </c>
      <c r="R83" s="68" t="s">
        <v>24</v>
      </c>
      <c r="S83" s="68"/>
      <c r="T83" s="68"/>
      <c r="U83" s="68"/>
      <c r="V83" s="68"/>
      <c r="W83" s="77"/>
      <c r="X83" s="24"/>
    </row>
    <row r="84" ht="19.8" customHeight="1" spans="1:24">
      <c r="A84" s="13"/>
      <c r="G84" s="48"/>
      <c r="H84" s="66"/>
      <c r="I84" s="68">
        <f t="shared" si="12"/>
        <v>81</v>
      </c>
      <c r="J84" s="68" t="s">
        <v>169</v>
      </c>
      <c r="K84" s="68">
        <v>1</v>
      </c>
      <c r="L84" s="70">
        <v>3500</v>
      </c>
      <c r="M84" s="70">
        <f t="shared" si="16"/>
        <v>3500</v>
      </c>
      <c r="N84" s="68">
        <v>1</v>
      </c>
      <c r="O84" s="70">
        <v>5680</v>
      </c>
      <c r="P84" s="70">
        <f t="shared" si="17"/>
        <v>5680</v>
      </c>
      <c r="Q84" s="70">
        <f t="shared" si="18"/>
        <v>-2180</v>
      </c>
      <c r="R84" s="68" t="s">
        <v>34</v>
      </c>
      <c r="S84" s="68"/>
      <c r="T84" s="68"/>
      <c r="U84" s="68"/>
      <c r="V84" s="68"/>
      <c r="W84" s="77"/>
      <c r="X84" s="24"/>
    </row>
    <row r="85" ht="19.8" customHeight="1" spans="1:24">
      <c r="A85" s="13"/>
      <c r="G85" s="48"/>
      <c r="H85" s="66"/>
      <c r="I85" s="68">
        <f t="shared" si="12"/>
        <v>82</v>
      </c>
      <c r="J85" s="68" t="s">
        <v>170</v>
      </c>
      <c r="K85" s="68"/>
      <c r="L85" s="70">
        <v>0</v>
      </c>
      <c r="M85" s="70">
        <f t="shared" si="16"/>
        <v>0</v>
      </c>
      <c r="N85" s="68"/>
      <c r="O85" s="70">
        <v>0</v>
      </c>
      <c r="P85" s="70">
        <f t="shared" si="17"/>
        <v>0</v>
      </c>
      <c r="Q85" s="70">
        <f t="shared" si="18"/>
        <v>0</v>
      </c>
      <c r="R85" s="68" t="s">
        <v>24</v>
      </c>
      <c r="S85" s="68"/>
      <c r="T85" s="68"/>
      <c r="U85" s="68"/>
      <c r="V85" s="68"/>
      <c r="W85" s="77"/>
      <c r="X85" s="24"/>
    </row>
    <row r="86" ht="19.8" customHeight="1" spans="1:24">
      <c r="A86" s="13"/>
      <c r="G86" s="48"/>
      <c r="H86" s="66" t="s">
        <v>171</v>
      </c>
      <c r="I86" s="68">
        <f t="shared" si="12"/>
        <v>83</v>
      </c>
      <c r="J86" s="68" t="s">
        <v>172</v>
      </c>
      <c r="K86" s="68"/>
      <c r="L86" s="70">
        <v>0</v>
      </c>
      <c r="M86" s="70">
        <f t="shared" si="16"/>
        <v>0</v>
      </c>
      <c r="N86" s="68"/>
      <c r="O86" s="70">
        <v>0</v>
      </c>
      <c r="P86" s="70">
        <f t="shared" si="17"/>
        <v>0</v>
      </c>
      <c r="Q86" s="70">
        <f t="shared" si="18"/>
        <v>0</v>
      </c>
      <c r="R86" s="68" t="s">
        <v>24</v>
      </c>
      <c r="S86" s="68"/>
      <c r="T86" s="68"/>
      <c r="U86" s="68"/>
      <c r="V86" s="68"/>
      <c r="W86" s="77" t="s">
        <v>67</v>
      </c>
      <c r="X86" s="24"/>
    </row>
    <row r="87" ht="19.8" customHeight="1" spans="1:24">
      <c r="A87" s="13"/>
      <c r="G87" s="48" t="s">
        <v>173</v>
      </c>
      <c r="H87" s="66" t="s">
        <v>174</v>
      </c>
      <c r="I87" s="68">
        <f t="shared" si="12"/>
        <v>84</v>
      </c>
      <c r="J87" s="69" t="s">
        <v>175</v>
      </c>
      <c r="K87" s="68">
        <v>1</v>
      </c>
      <c r="L87" s="70">
        <v>20000</v>
      </c>
      <c r="M87" s="70">
        <f t="shared" ref="M87:M93" si="19">K87*L87</f>
        <v>20000</v>
      </c>
      <c r="N87" s="68">
        <v>1</v>
      </c>
      <c r="O87" s="70">
        <v>28973</v>
      </c>
      <c r="P87" s="70">
        <f t="shared" ref="P87:P93" si="20">N87*O87</f>
        <v>28973</v>
      </c>
      <c r="Q87" s="70">
        <f t="shared" ref="Q87:Q93" si="21">M87-P87</f>
        <v>-8973</v>
      </c>
      <c r="R87" s="68" t="s">
        <v>34</v>
      </c>
      <c r="S87" s="68"/>
      <c r="T87" s="68"/>
      <c r="U87" s="68"/>
      <c r="V87" s="68"/>
      <c r="W87" s="77" t="s">
        <v>176</v>
      </c>
      <c r="X87" s="24"/>
    </row>
    <row r="88" ht="19.8" customHeight="1" spans="1:24">
      <c r="A88" s="13"/>
      <c r="G88" s="48"/>
      <c r="H88" s="66"/>
      <c r="I88" s="68">
        <f t="shared" si="12"/>
        <v>85</v>
      </c>
      <c r="J88" s="69" t="s">
        <v>177</v>
      </c>
      <c r="K88" s="68"/>
      <c r="L88" s="70">
        <v>0</v>
      </c>
      <c r="M88" s="70">
        <f t="shared" si="19"/>
        <v>0</v>
      </c>
      <c r="N88" s="68"/>
      <c r="O88" s="70">
        <v>0</v>
      </c>
      <c r="P88" s="70">
        <f t="shared" si="20"/>
        <v>0</v>
      </c>
      <c r="Q88" s="70">
        <f t="shared" si="21"/>
        <v>0</v>
      </c>
      <c r="R88" s="68" t="s">
        <v>24</v>
      </c>
      <c r="S88" s="68"/>
      <c r="T88" s="68"/>
      <c r="U88" s="68"/>
      <c r="V88" s="68"/>
      <c r="W88" s="77"/>
      <c r="X88" s="24"/>
    </row>
    <row r="89" ht="19.8" customHeight="1" spans="1:24">
      <c r="A89" s="13"/>
      <c r="G89" s="48"/>
      <c r="H89" s="66"/>
      <c r="I89" s="68">
        <f t="shared" si="12"/>
        <v>86</v>
      </c>
      <c r="J89" s="69" t="s">
        <v>178</v>
      </c>
      <c r="K89" s="68"/>
      <c r="L89" s="70">
        <v>0</v>
      </c>
      <c r="M89" s="70">
        <f t="shared" si="19"/>
        <v>0</v>
      </c>
      <c r="N89" s="68"/>
      <c r="O89" s="70">
        <v>0</v>
      </c>
      <c r="P89" s="70">
        <f t="shared" si="20"/>
        <v>0</v>
      </c>
      <c r="Q89" s="70">
        <f t="shared" si="21"/>
        <v>0</v>
      </c>
      <c r="R89" s="68" t="s">
        <v>24</v>
      </c>
      <c r="S89" s="68"/>
      <c r="T89" s="68"/>
      <c r="U89" s="68"/>
      <c r="V89" s="68"/>
      <c r="W89" s="77"/>
      <c r="X89" s="24"/>
    </row>
    <row r="90" ht="19.8" customHeight="1" spans="1:24">
      <c r="A90" s="13"/>
      <c r="G90" s="48"/>
      <c r="H90" s="66"/>
      <c r="I90" s="68">
        <f t="shared" si="12"/>
        <v>87</v>
      </c>
      <c r="J90" s="69" t="s">
        <v>179</v>
      </c>
      <c r="K90" s="68"/>
      <c r="L90" s="70">
        <v>0</v>
      </c>
      <c r="M90" s="70">
        <f t="shared" si="19"/>
        <v>0</v>
      </c>
      <c r="N90" s="68"/>
      <c r="O90" s="70">
        <v>0</v>
      </c>
      <c r="P90" s="70">
        <f t="shared" si="20"/>
        <v>0</v>
      </c>
      <c r="Q90" s="70">
        <f t="shared" si="21"/>
        <v>0</v>
      </c>
      <c r="R90" s="68" t="s">
        <v>24</v>
      </c>
      <c r="S90" s="68"/>
      <c r="T90" s="68"/>
      <c r="U90" s="68"/>
      <c r="V90" s="68"/>
      <c r="W90" s="77"/>
      <c r="X90" s="24"/>
    </row>
    <row r="91" ht="19.8" customHeight="1" spans="1:24">
      <c r="A91" s="13"/>
      <c r="G91" s="48"/>
      <c r="H91" s="66"/>
      <c r="I91" s="68">
        <f t="shared" si="12"/>
        <v>88</v>
      </c>
      <c r="J91" s="69" t="s">
        <v>180</v>
      </c>
      <c r="K91" s="68">
        <v>1</v>
      </c>
      <c r="L91" s="70">
        <v>3500</v>
      </c>
      <c r="M91" s="70">
        <f t="shared" si="19"/>
        <v>3500</v>
      </c>
      <c r="N91" s="68">
        <v>1</v>
      </c>
      <c r="O91" s="70">
        <v>5200</v>
      </c>
      <c r="P91" s="70">
        <f t="shared" si="20"/>
        <v>5200</v>
      </c>
      <c r="Q91" s="70">
        <f t="shared" si="21"/>
        <v>-1700</v>
      </c>
      <c r="R91" s="68" t="s">
        <v>34</v>
      </c>
      <c r="S91" s="68"/>
      <c r="T91" s="68"/>
      <c r="U91" s="68"/>
      <c r="V91" s="68"/>
      <c r="W91" s="77" t="s">
        <v>181</v>
      </c>
      <c r="X91" s="24"/>
    </row>
    <row r="92" ht="19.8" customHeight="1" spans="1:24">
      <c r="A92" s="13"/>
      <c r="G92" s="48"/>
      <c r="H92" s="66"/>
      <c r="I92" s="68">
        <f t="shared" si="12"/>
        <v>89</v>
      </c>
      <c r="J92" s="69" t="s">
        <v>182</v>
      </c>
      <c r="K92" s="68">
        <v>1</v>
      </c>
      <c r="L92" s="70">
        <v>500</v>
      </c>
      <c r="M92" s="70">
        <f t="shared" si="19"/>
        <v>500</v>
      </c>
      <c r="N92" s="68">
        <v>1</v>
      </c>
      <c r="O92" s="70">
        <v>548</v>
      </c>
      <c r="P92" s="70">
        <f t="shared" si="20"/>
        <v>548</v>
      </c>
      <c r="Q92" s="70">
        <f t="shared" si="21"/>
        <v>-48</v>
      </c>
      <c r="R92" s="68" t="s">
        <v>34</v>
      </c>
      <c r="S92" s="68"/>
      <c r="T92" s="68"/>
      <c r="U92" s="68"/>
      <c r="V92" s="68"/>
      <c r="W92" s="77"/>
      <c r="X92" s="24"/>
    </row>
    <row r="93" ht="19.8" customHeight="1" spans="1:24">
      <c r="A93" s="13"/>
      <c r="G93" s="48"/>
      <c r="H93" s="66"/>
      <c r="I93" s="68">
        <f t="shared" si="12"/>
        <v>90</v>
      </c>
      <c r="J93" s="69" t="s">
        <v>183</v>
      </c>
      <c r="K93" s="68">
        <v>1</v>
      </c>
      <c r="L93" s="70">
        <v>500</v>
      </c>
      <c r="M93" s="70">
        <f t="shared" si="19"/>
        <v>500</v>
      </c>
      <c r="N93" s="68">
        <v>1</v>
      </c>
      <c r="O93" s="70">
        <v>398</v>
      </c>
      <c r="P93" s="70">
        <f t="shared" si="20"/>
        <v>398</v>
      </c>
      <c r="Q93" s="70">
        <f t="shared" si="21"/>
        <v>102</v>
      </c>
      <c r="R93" s="68" t="s">
        <v>34</v>
      </c>
      <c r="S93" s="68"/>
      <c r="T93" s="68"/>
      <c r="U93" s="68"/>
      <c r="V93" s="68"/>
      <c r="W93" s="77"/>
      <c r="X93" s="24"/>
    </row>
    <row r="94" ht="19.8" customHeight="1" spans="1:24">
      <c r="A94" s="13"/>
      <c r="G94" s="48"/>
      <c r="H94" s="66"/>
      <c r="I94" s="68">
        <f t="shared" ref="I94:I122" si="22">ROW()-3</f>
        <v>91</v>
      </c>
      <c r="J94" s="69" t="s">
        <v>184</v>
      </c>
      <c r="K94" s="68"/>
      <c r="L94" s="70">
        <v>0</v>
      </c>
      <c r="M94" s="70">
        <f t="shared" ref="M94:M122" si="23">K94*L94</f>
        <v>0</v>
      </c>
      <c r="N94" s="68"/>
      <c r="O94" s="70">
        <v>0</v>
      </c>
      <c r="P94" s="70">
        <f t="shared" ref="P94:P122" si="24">N94*O94</f>
        <v>0</v>
      </c>
      <c r="Q94" s="70">
        <f t="shared" ref="Q94:Q122" si="25">M94-P94</f>
        <v>0</v>
      </c>
      <c r="R94" s="68" t="s">
        <v>24</v>
      </c>
      <c r="S94" s="68"/>
      <c r="T94" s="68"/>
      <c r="U94" s="68"/>
      <c r="V94" s="68"/>
      <c r="W94" s="77"/>
      <c r="X94" s="24"/>
    </row>
    <row r="95" ht="19.8" customHeight="1" spans="1:24">
      <c r="A95" s="13"/>
      <c r="G95" s="48"/>
      <c r="H95" s="66"/>
      <c r="I95" s="68">
        <f t="shared" si="22"/>
        <v>92</v>
      </c>
      <c r="J95" s="69" t="s">
        <v>185</v>
      </c>
      <c r="K95" s="68"/>
      <c r="L95" s="70">
        <v>0</v>
      </c>
      <c r="M95" s="70">
        <f t="shared" si="23"/>
        <v>0</v>
      </c>
      <c r="N95" s="68"/>
      <c r="O95" s="70">
        <v>0</v>
      </c>
      <c r="P95" s="70">
        <f t="shared" si="24"/>
        <v>0</v>
      </c>
      <c r="Q95" s="70">
        <f t="shared" si="25"/>
        <v>0</v>
      </c>
      <c r="R95" s="68" t="s">
        <v>24</v>
      </c>
      <c r="S95" s="68"/>
      <c r="T95" s="68"/>
      <c r="U95" s="68"/>
      <c r="V95" s="68"/>
      <c r="W95" s="77"/>
      <c r="X95" s="24"/>
    </row>
    <row r="96" ht="19.8" customHeight="1" spans="1:24">
      <c r="A96" s="13"/>
      <c r="G96" s="48"/>
      <c r="H96" s="55" t="s">
        <v>186</v>
      </c>
      <c r="I96" s="68">
        <f t="shared" si="22"/>
        <v>93</v>
      </c>
      <c r="J96" s="69" t="s">
        <v>187</v>
      </c>
      <c r="K96" s="68"/>
      <c r="L96" s="70">
        <v>0</v>
      </c>
      <c r="M96" s="70">
        <f t="shared" si="23"/>
        <v>0</v>
      </c>
      <c r="N96" s="68"/>
      <c r="O96" s="70">
        <v>0</v>
      </c>
      <c r="P96" s="70">
        <f t="shared" si="24"/>
        <v>0</v>
      </c>
      <c r="Q96" s="70">
        <f t="shared" si="25"/>
        <v>0</v>
      </c>
      <c r="R96" s="68" t="s">
        <v>24</v>
      </c>
      <c r="S96" s="68"/>
      <c r="T96" s="68"/>
      <c r="U96" s="68"/>
      <c r="V96" s="68"/>
      <c r="W96" s="77"/>
      <c r="X96" s="24"/>
    </row>
    <row r="97" ht="19.8" customHeight="1" spans="1:24">
      <c r="A97" s="13"/>
      <c r="G97" s="48"/>
      <c r="H97" s="55"/>
      <c r="I97" s="68">
        <f t="shared" si="22"/>
        <v>94</v>
      </c>
      <c r="J97" s="69" t="s">
        <v>188</v>
      </c>
      <c r="K97" s="68"/>
      <c r="L97" s="70">
        <v>0</v>
      </c>
      <c r="M97" s="70">
        <f t="shared" si="23"/>
        <v>0</v>
      </c>
      <c r="N97" s="68"/>
      <c r="O97" s="70">
        <v>0</v>
      </c>
      <c r="P97" s="70">
        <f t="shared" si="24"/>
        <v>0</v>
      </c>
      <c r="Q97" s="70">
        <f t="shared" si="25"/>
        <v>0</v>
      </c>
      <c r="R97" s="68" t="s">
        <v>24</v>
      </c>
      <c r="S97" s="68"/>
      <c r="T97" s="68"/>
      <c r="U97" s="68"/>
      <c r="V97" s="68"/>
      <c r="W97" s="77"/>
      <c r="X97" s="24"/>
    </row>
    <row r="98" ht="19.8" customHeight="1" spans="1:24">
      <c r="A98" s="13"/>
      <c r="G98" s="48"/>
      <c r="H98" s="55"/>
      <c r="I98" s="68">
        <f t="shared" si="22"/>
        <v>95</v>
      </c>
      <c r="J98" s="69" t="s">
        <v>189</v>
      </c>
      <c r="K98" s="68"/>
      <c r="L98" s="70">
        <v>0</v>
      </c>
      <c r="M98" s="70">
        <f t="shared" si="23"/>
        <v>0</v>
      </c>
      <c r="N98" s="68"/>
      <c r="O98" s="70">
        <v>0</v>
      </c>
      <c r="P98" s="70">
        <f t="shared" si="24"/>
        <v>0</v>
      </c>
      <c r="Q98" s="70">
        <f t="shared" si="25"/>
        <v>0</v>
      </c>
      <c r="R98" s="68" t="s">
        <v>24</v>
      </c>
      <c r="S98" s="68"/>
      <c r="T98" s="68"/>
      <c r="U98" s="68"/>
      <c r="V98" s="68"/>
      <c r="W98" s="77"/>
      <c r="X98" s="24"/>
    </row>
    <row r="99" ht="19.8" customHeight="1" spans="1:24">
      <c r="A99" s="13"/>
      <c r="G99" s="48"/>
      <c r="H99" s="55"/>
      <c r="I99" s="68">
        <f t="shared" si="22"/>
        <v>96</v>
      </c>
      <c r="J99" s="69" t="s">
        <v>190</v>
      </c>
      <c r="K99" s="68">
        <v>1</v>
      </c>
      <c r="L99" s="70">
        <v>2000</v>
      </c>
      <c r="M99" s="70">
        <f t="shared" si="23"/>
        <v>2000</v>
      </c>
      <c r="N99" s="68">
        <v>1</v>
      </c>
      <c r="O99" s="70">
        <v>2650</v>
      </c>
      <c r="P99" s="70">
        <f t="shared" si="24"/>
        <v>2650</v>
      </c>
      <c r="Q99" s="70">
        <f t="shared" si="25"/>
        <v>-650</v>
      </c>
      <c r="R99" s="68" t="s">
        <v>34</v>
      </c>
      <c r="S99" s="68"/>
      <c r="T99" s="68"/>
      <c r="U99" s="68"/>
      <c r="V99" s="68"/>
      <c r="W99" s="77"/>
      <c r="X99" s="24"/>
    </row>
    <row r="100" ht="19.8" customHeight="1" spans="1:24">
      <c r="A100" s="13"/>
      <c r="G100" s="48"/>
      <c r="H100" s="55"/>
      <c r="I100" s="68">
        <f t="shared" si="22"/>
        <v>97</v>
      </c>
      <c r="J100" s="69" t="s">
        <v>191</v>
      </c>
      <c r="K100" s="68">
        <v>1</v>
      </c>
      <c r="L100" s="70">
        <v>2000</v>
      </c>
      <c r="M100" s="70">
        <f t="shared" si="23"/>
        <v>2000</v>
      </c>
      <c r="N100" s="68">
        <v>1</v>
      </c>
      <c r="O100" s="70">
        <v>1599</v>
      </c>
      <c r="P100" s="70">
        <f t="shared" si="24"/>
        <v>1599</v>
      </c>
      <c r="Q100" s="70">
        <f t="shared" si="25"/>
        <v>401</v>
      </c>
      <c r="R100" s="68" t="s">
        <v>34</v>
      </c>
      <c r="S100" s="68"/>
      <c r="T100" s="68"/>
      <c r="U100" s="68"/>
      <c r="V100" s="68"/>
      <c r="W100" s="77"/>
      <c r="X100" s="24"/>
    </row>
    <row r="101" ht="19.8" customHeight="1" spans="1:24">
      <c r="A101" s="13"/>
      <c r="G101" s="48"/>
      <c r="H101" s="55"/>
      <c r="I101" s="68">
        <f t="shared" si="22"/>
        <v>98</v>
      </c>
      <c r="J101" s="81" t="s">
        <v>192</v>
      </c>
      <c r="K101" s="68"/>
      <c r="L101" s="70">
        <v>0</v>
      </c>
      <c r="M101" s="70">
        <f t="shared" si="23"/>
        <v>0</v>
      </c>
      <c r="N101" s="68"/>
      <c r="O101" s="70">
        <v>0</v>
      </c>
      <c r="P101" s="70">
        <f t="shared" si="24"/>
        <v>0</v>
      </c>
      <c r="Q101" s="70">
        <f t="shared" si="25"/>
        <v>0</v>
      </c>
      <c r="R101" s="68" t="s">
        <v>24</v>
      </c>
      <c r="S101" s="68"/>
      <c r="T101" s="68"/>
      <c r="U101" s="68"/>
      <c r="V101" s="68"/>
      <c r="W101" s="77"/>
      <c r="X101" s="24"/>
    </row>
    <row r="102" ht="19.8" customHeight="1" spans="1:24">
      <c r="A102" s="13"/>
      <c r="G102" s="48"/>
      <c r="H102" s="55"/>
      <c r="I102" s="68">
        <f t="shared" si="22"/>
        <v>99</v>
      </c>
      <c r="J102" s="69" t="s">
        <v>82</v>
      </c>
      <c r="K102" s="68">
        <v>1</v>
      </c>
      <c r="L102" s="70">
        <v>4000</v>
      </c>
      <c r="M102" s="70">
        <f t="shared" si="23"/>
        <v>4000</v>
      </c>
      <c r="N102" s="68">
        <v>1</v>
      </c>
      <c r="O102" s="70">
        <v>6200</v>
      </c>
      <c r="P102" s="70">
        <f t="shared" si="24"/>
        <v>6200</v>
      </c>
      <c r="Q102" s="70">
        <f t="shared" si="25"/>
        <v>-2200</v>
      </c>
      <c r="R102" s="68" t="s">
        <v>34</v>
      </c>
      <c r="S102" s="68"/>
      <c r="T102" s="68"/>
      <c r="U102" s="68"/>
      <c r="V102" s="68"/>
      <c r="W102" s="77"/>
      <c r="X102" s="24"/>
    </row>
    <row r="103" ht="19.8" customHeight="1" spans="1:24">
      <c r="A103" s="13"/>
      <c r="G103" s="48"/>
      <c r="H103" s="55"/>
      <c r="I103" s="68">
        <f t="shared" si="22"/>
        <v>100</v>
      </c>
      <c r="J103" s="69" t="s">
        <v>79</v>
      </c>
      <c r="K103" s="68"/>
      <c r="L103" s="70">
        <v>0</v>
      </c>
      <c r="M103" s="70">
        <f t="shared" si="23"/>
        <v>0</v>
      </c>
      <c r="N103" s="68"/>
      <c r="O103" s="70">
        <v>0</v>
      </c>
      <c r="P103" s="70">
        <f t="shared" si="24"/>
        <v>0</v>
      </c>
      <c r="Q103" s="70">
        <f t="shared" si="25"/>
        <v>0</v>
      </c>
      <c r="R103" s="68" t="s">
        <v>24</v>
      </c>
      <c r="S103" s="68"/>
      <c r="T103" s="68"/>
      <c r="U103" s="68"/>
      <c r="V103" s="68"/>
      <c r="W103" s="77"/>
      <c r="X103" s="24"/>
    </row>
    <row r="104" ht="19.8" customHeight="1" spans="1:24">
      <c r="A104" s="13"/>
      <c r="G104" s="48"/>
      <c r="H104" s="55"/>
      <c r="I104" s="68">
        <f t="shared" si="22"/>
        <v>101</v>
      </c>
      <c r="J104" s="69" t="s">
        <v>193</v>
      </c>
      <c r="K104" s="68"/>
      <c r="L104" s="70">
        <v>0</v>
      </c>
      <c r="M104" s="70">
        <f t="shared" si="23"/>
        <v>0</v>
      </c>
      <c r="N104" s="68"/>
      <c r="O104" s="70">
        <v>0</v>
      </c>
      <c r="P104" s="70">
        <f t="shared" si="24"/>
        <v>0</v>
      </c>
      <c r="Q104" s="70">
        <f t="shared" si="25"/>
        <v>0</v>
      </c>
      <c r="R104" s="68" t="s">
        <v>24</v>
      </c>
      <c r="S104" s="68"/>
      <c r="T104" s="68"/>
      <c r="U104" s="68"/>
      <c r="V104" s="68"/>
      <c r="W104" s="77"/>
      <c r="X104" s="24"/>
    </row>
    <row r="105" ht="19.8" customHeight="1" spans="1:24">
      <c r="A105" s="13"/>
      <c r="G105" s="48"/>
      <c r="H105" s="55"/>
      <c r="I105" s="68">
        <f t="shared" si="22"/>
        <v>102</v>
      </c>
      <c r="J105" s="69" t="s">
        <v>194</v>
      </c>
      <c r="K105" s="68"/>
      <c r="L105" s="70">
        <v>0</v>
      </c>
      <c r="M105" s="70">
        <f t="shared" si="23"/>
        <v>0</v>
      </c>
      <c r="N105" s="68"/>
      <c r="O105" s="70">
        <v>0</v>
      </c>
      <c r="P105" s="70">
        <f t="shared" si="24"/>
        <v>0</v>
      </c>
      <c r="Q105" s="70">
        <f t="shared" si="25"/>
        <v>0</v>
      </c>
      <c r="R105" s="68" t="s">
        <v>24</v>
      </c>
      <c r="S105" s="68"/>
      <c r="T105" s="68"/>
      <c r="U105" s="68"/>
      <c r="V105" s="68"/>
      <c r="W105" s="77"/>
      <c r="X105" s="24"/>
    </row>
    <row r="106" ht="19.8" customHeight="1" spans="1:24">
      <c r="A106" s="13"/>
      <c r="G106" s="48"/>
      <c r="H106" s="55"/>
      <c r="I106" s="68">
        <f t="shared" si="22"/>
        <v>103</v>
      </c>
      <c r="J106" s="69" t="s">
        <v>104</v>
      </c>
      <c r="K106" s="68"/>
      <c r="L106" s="70">
        <v>0</v>
      </c>
      <c r="M106" s="70">
        <f t="shared" ref="M106:M122" si="26">K106*L106</f>
        <v>0</v>
      </c>
      <c r="N106" s="68"/>
      <c r="O106" s="70">
        <v>0</v>
      </c>
      <c r="P106" s="70">
        <f t="shared" ref="P106:P122" si="27">N106*O106</f>
        <v>0</v>
      </c>
      <c r="Q106" s="70">
        <f t="shared" ref="Q106:Q122" si="28">M106-P106</f>
        <v>0</v>
      </c>
      <c r="R106" s="68" t="s">
        <v>24</v>
      </c>
      <c r="S106" s="68"/>
      <c r="T106" s="68"/>
      <c r="U106" s="68"/>
      <c r="V106" s="68"/>
      <c r="W106" s="77"/>
      <c r="X106" s="24"/>
    </row>
    <row r="107" ht="19.8" customHeight="1" spans="1:24">
      <c r="A107" s="13"/>
      <c r="G107" s="48"/>
      <c r="H107" s="55"/>
      <c r="I107" s="68">
        <f t="shared" si="22"/>
        <v>104</v>
      </c>
      <c r="J107" s="69" t="s">
        <v>105</v>
      </c>
      <c r="K107" s="68"/>
      <c r="L107" s="70">
        <v>0</v>
      </c>
      <c r="M107" s="70">
        <f t="shared" si="26"/>
        <v>0</v>
      </c>
      <c r="N107" s="68"/>
      <c r="O107" s="70">
        <v>0</v>
      </c>
      <c r="P107" s="70">
        <f t="shared" si="27"/>
        <v>0</v>
      </c>
      <c r="Q107" s="70">
        <f t="shared" si="28"/>
        <v>0</v>
      </c>
      <c r="R107" s="68" t="s">
        <v>24</v>
      </c>
      <c r="S107" s="68"/>
      <c r="T107" s="68"/>
      <c r="U107" s="68"/>
      <c r="V107" s="68"/>
      <c r="W107" s="77"/>
      <c r="X107" s="24"/>
    </row>
    <row r="108" ht="19.8" customHeight="1" spans="1:24">
      <c r="A108" s="13"/>
      <c r="G108" s="48"/>
      <c r="H108" s="55"/>
      <c r="I108" s="68">
        <f t="shared" si="22"/>
        <v>105</v>
      </c>
      <c r="J108" s="69" t="s">
        <v>195</v>
      </c>
      <c r="K108" s="68"/>
      <c r="L108" s="70">
        <v>0</v>
      </c>
      <c r="M108" s="70">
        <f t="shared" si="26"/>
        <v>0</v>
      </c>
      <c r="N108" s="68"/>
      <c r="O108" s="70">
        <v>0</v>
      </c>
      <c r="P108" s="70">
        <f t="shared" si="27"/>
        <v>0</v>
      </c>
      <c r="Q108" s="70">
        <f t="shared" si="28"/>
        <v>0</v>
      </c>
      <c r="R108" s="68" t="s">
        <v>24</v>
      </c>
      <c r="S108" s="68"/>
      <c r="T108" s="68"/>
      <c r="U108" s="68"/>
      <c r="V108" s="68"/>
      <c r="W108" s="77"/>
      <c r="X108" s="24"/>
    </row>
    <row r="109" ht="19.8" customHeight="1" spans="1:24">
      <c r="A109" s="13"/>
      <c r="G109" s="48"/>
      <c r="H109" s="55"/>
      <c r="I109" s="68">
        <f t="shared" si="22"/>
        <v>106</v>
      </c>
      <c r="J109" s="69" t="s">
        <v>196</v>
      </c>
      <c r="K109" s="68">
        <v>1</v>
      </c>
      <c r="L109" s="70">
        <v>2000</v>
      </c>
      <c r="M109" s="70">
        <f t="shared" si="26"/>
        <v>2000</v>
      </c>
      <c r="N109" s="68">
        <v>1</v>
      </c>
      <c r="O109" s="70">
        <v>3000</v>
      </c>
      <c r="P109" s="70">
        <f t="shared" si="27"/>
        <v>3000</v>
      </c>
      <c r="Q109" s="70">
        <f t="shared" si="28"/>
        <v>-1000</v>
      </c>
      <c r="R109" s="68" t="s">
        <v>24</v>
      </c>
      <c r="S109" s="68"/>
      <c r="T109" s="68"/>
      <c r="U109" s="68"/>
      <c r="V109" s="68"/>
      <c r="W109" s="77"/>
      <c r="X109" s="24"/>
    </row>
    <row r="110" ht="19.8" customHeight="1" spans="1:24">
      <c r="A110" s="13"/>
      <c r="G110" s="48"/>
      <c r="H110" s="55"/>
      <c r="I110" s="68">
        <f t="shared" si="22"/>
        <v>107</v>
      </c>
      <c r="J110" s="69" t="s">
        <v>197</v>
      </c>
      <c r="K110" s="68"/>
      <c r="L110" s="70">
        <v>0</v>
      </c>
      <c r="M110" s="70">
        <f t="shared" si="26"/>
        <v>0</v>
      </c>
      <c r="N110" s="68"/>
      <c r="O110" s="70">
        <v>0</v>
      </c>
      <c r="P110" s="70">
        <f t="shared" si="27"/>
        <v>0</v>
      </c>
      <c r="Q110" s="70">
        <f t="shared" si="28"/>
        <v>0</v>
      </c>
      <c r="R110" s="68" t="s">
        <v>24</v>
      </c>
      <c r="S110" s="68"/>
      <c r="T110" s="68"/>
      <c r="U110" s="68"/>
      <c r="V110" s="68"/>
      <c r="W110" s="77"/>
      <c r="X110" s="24"/>
    </row>
    <row r="111" ht="19.8" customHeight="1" spans="1:24">
      <c r="A111" s="13"/>
      <c r="G111" s="48"/>
      <c r="H111" s="55"/>
      <c r="I111" s="68">
        <f t="shared" si="22"/>
        <v>108</v>
      </c>
      <c r="J111" s="69" t="s">
        <v>198</v>
      </c>
      <c r="K111" s="68"/>
      <c r="L111" s="70">
        <v>0</v>
      </c>
      <c r="M111" s="70">
        <f t="shared" si="26"/>
        <v>0</v>
      </c>
      <c r="N111" s="68"/>
      <c r="O111" s="70">
        <v>0</v>
      </c>
      <c r="P111" s="70">
        <f t="shared" si="27"/>
        <v>0</v>
      </c>
      <c r="Q111" s="70">
        <f t="shared" si="28"/>
        <v>0</v>
      </c>
      <c r="R111" s="68" t="s">
        <v>24</v>
      </c>
      <c r="S111" s="68"/>
      <c r="T111" s="68"/>
      <c r="U111" s="68"/>
      <c r="V111" s="68"/>
      <c r="W111" s="77" t="s">
        <v>199</v>
      </c>
      <c r="X111" s="24"/>
    </row>
    <row r="112" ht="19.8" customHeight="1" spans="1:24">
      <c r="A112" s="13"/>
      <c r="G112" s="48"/>
      <c r="H112" s="55"/>
      <c r="I112" s="68">
        <f t="shared" si="22"/>
        <v>109</v>
      </c>
      <c r="J112" s="69" t="s">
        <v>200</v>
      </c>
      <c r="K112" s="68"/>
      <c r="L112" s="70">
        <v>0</v>
      </c>
      <c r="M112" s="70">
        <f t="shared" si="26"/>
        <v>0</v>
      </c>
      <c r="N112" s="68"/>
      <c r="O112" s="70">
        <v>0</v>
      </c>
      <c r="P112" s="70">
        <f t="shared" si="27"/>
        <v>0</v>
      </c>
      <c r="Q112" s="70">
        <f t="shared" si="28"/>
        <v>0</v>
      </c>
      <c r="R112" s="68" t="s">
        <v>24</v>
      </c>
      <c r="S112" s="68"/>
      <c r="T112" s="68"/>
      <c r="U112" s="68"/>
      <c r="V112" s="68"/>
      <c r="W112" s="77"/>
      <c r="X112" s="24"/>
    </row>
    <row r="113" ht="19.8" customHeight="1" spans="1:24">
      <c r="A113" s="13"/>
      <c r="G113" s="48"/>
      <c r="H113" s="55"/>
      <c r="I113" s="68">
        <f t="shared" si="22"/>
        <v>110</v>
      </c>
      <c r="J113" s="69" t="s">
        <v>201</v>
      </c>
      <c r="K113" s="68"/>
      <c r="L113" s="70">
        <v>0</v>
      </c>
      <c r="M113" s="70">
        <f t="shared" si="26"/>
        <v>0</v>
      </c>
      <c r="N113" s="68"/>
      <c r="O113" s="70">
        <v>0</v>
      </c>
      <c r="P113" s="70">
        <f t="shared" si="27"/>
        <v>0</v>
      </c>
      <c r="Q113" s="70">
        <f t="shared" si="28"/>
        <v>0</v>
      </c>
      <c r="R113" s="68" t="s">
        <v>24</v>
      </c>
      <c r="S113" s="68"/>
      <c r="T113" s="68"/>
      <c r="U113" s="68"/>
      <c r="V113" s="68"/>
      <c r="W113" s="77"/>
      <c r="X113" s="24"/>
    </row>
    <row r="114" ht="19.8" customHeight="1" spans="1:24">
      <c r="A114" s="13"/>
      <c r="G114" s="48"/>
      <c r="H114" s="55"/>
      <c r="I114" s="68">
        <f t="shared" si="22"/>
        <v>111</v>
      </c>
      <c r="J114" s="69" t="s">
        <v>202</v>
      </c>
      <c r="K114" s="68"/>
      <c r="L114" s="70">
        <v>0</v>
      </c>
      <c r="M114" s="70">
        <f t="shared" si="26"/>
        <v>0</v>
      </c>
      <c r="N114" s="68"/>
      <c r="O114" s="70">
        <v>0</v>
      </c>
      <c r="P114" s="70">
        <f t="shared" si="27"/>
        <v>0</v>
      </c>
      <c r="Q114" s="70">
        <f t="shared" si="28"/>
        <v>0</v>
      </c>
      <c r="R114" s="68" t="s">
        <v>24</v>
      </c>
      <c r="S114" s="68"/>
      <c r="T114" s="68"/>
      <c r="U114" s="68"/>
      <c r="V114" s="68"/>
      <c r="W114" s="77"/>
      <c r="X114" s="24"/>
    </row>
    <row r="115" ht="19.8" customHeight="1" spans="1:24">
      <c r="A115" s="13"/>
      <c r="G115" s="48"/>
      <c r="H115" s="55" t="s">
        <v>203</v>
      </c>
      <c r="I115" s="68">
        <f t="shared" si="22"/>
        <v>112</v>
      </c>
      <c r="J115" s="82" t="s">
        <v>101</v>
      </c>
      <c r="K115" s="68">
        <v>1</v>
      </c>
      <c r="L115" s="70">
        <v>2500</v>
      </c>
      <c r="M115" s="70">
        <f t="shared" si="26"/>
        <v>2500</v>
      </c>
      <c r="N115" s="68">
        <v>1</v>
      </c>
      <c r="O115" s="70">
        <v>4310</v>
      </c>
      <c r="P115" s="70">
        <f t="shared" si="27"/>
        <v>4310</v>
      </c>
      <c r="Q115" s="70">
        <f t="shared" si="28"/>
        <v>-1810</v>
      </c>
      <c r="R115" s="68" t="s">
        <v>34</v>
      </c>
      <c r="S115" s="68"/>
      <c r="T115" s="68"/>
      <c r="U115" s="68"/>
      <c r="V115" s="68"/>
      <c r="W115" s="77"/>
      <c r="X115" s="24"/>
    </row>
    <row r="116" ht="19.8" customHeight="1" spans="1:24">
      <c r="A116" s="13"/>
      <c r="G116" s="48"/>
      <c r="H116" s="55"/>
      <c r="I116" s="68">
        <f t="shared" si="22"/>
        <v>113</v>
      </c>
      <c r="J116" s="69" t="s">
        <v>204</v>
      </c>
      <c r="K116" s="68"/>
      <c r="L116" s="70">
        <v>0</v>
      </c>
      <c r="M116" s="70">
        <f t="shared" si="26"/>
        <v>0</v>
      </c>
      <c r="N116" s="68"/>
      <c r="O116" s="70">
        <v>0</v>
      </c>
      <c r="P116" s="70">
        <f t="shared" si="27"/>
        <v>0</v>
      </c>
      <c r="Q116" s="70">
        <f t="shared" si="28"/>
        <v>0</v>
      </c>
      <c r="R116" s="68" t="s">
        <v>24</v>
      </c>
      <c r="S116" s="68"/>
      <c r="T116" s="68"/>
      <c r="U116" s="68"/>
      <c r="V116" s="68"/>
      <c r="W116" s="77" t="s">
        <v>205</v>
      </c>
      <c r="X116" s="24"/>
    </row>
    <row r="117" ht="19.8" customHeight="1" spans="1:24">
      <c r="A117" s="13"/>
      <c r="G117" s="48"/>
      <c r="H117" s="55"/>
      <c r="I117" s="68">
        <f t="shared" si="22"/>
        <v>114</v>
      </c>
      <c r="J117" s="69" t="s">
        <v>206</v>
      </c>
      <c r="K117" s="68"/>
      <c r="L117" s="70">
        <v>0</v>
      </c>
      <c r="M117" s="70">
        <f t="shared" si="26"/>
        <v>0</v>
      </c>
      <c r="N117" s="68"/>
      <c r="O117" s="70">
        <v>0</v>
      </c>
      <c r="P117" s="70">
        <f t="shared" si="27"/>
        <v>0</v>
      </c>
      <c r="Q117" s="70">
        <f t="shared" si="28"/>
        <v>0</v>
      </c>
      <c r="R117" s="68" t="s">
        <v>24</v>
      </c>
      <c r="S117" s="68"/>
      <c r="T117" s="68"/>
      <c r="U117" s="68"/>
      <c r="V117" s="68"/>
      <c r="W117" s="77"/>
      <c r="X117" s="24"/>
    </row>
    <row r="118" ht="19.8" customHeight="1" spans="1:24">
      <c r="A118" s="13"/>
      <c r="G118" s="48"/>
      <c r="H118" s="55"/>
      <c r="I118" s="68">
        <f t="shared" si="22"/>
        <v>115</v>
      </c>
      <c r="J118" s="69" t="s">
        <v>207</v>
      </c>
      <c r="K118" s="68"/>
      <c r="L118" s="70">
        <v>0</v>
      </c>
      <c r="M118" s="70">
        <f t="shared" si="26"/>
        <v>0</v>
      </c>
      <c r="N118" s="68"/>
      <c r="O118" s="70">
        <v>0</v>
      </c>
      <c r="P118" s="70">
        <f t="shared" si="27"/>
        <v>0</v>
      </c>
      <c r="Q118" s="70">
        <f t="shared" si="28"/>
        <v>0</v>
      </c>
      <c r="R118" s="68" t="s">
        <v>24</v>
      </c>
      <c r="S118" s="68"/>
      <c r="T118" s="68"/>
      <c r="U118" s="68"/>
      <c r="V118" s="68"/>
      <c r="W118" s="77"/>
      <c r="X118" s="24"/>
    </row>
    <row r="119" ht="19.8" customHeight="1" spans="1:24">
      <c r="A119" s="13"/>
      <c r="G119" s="48"/>
      <c r="H119" s="55"/>
      <c r="I119" s="68">
        <f t="shared" si="22"/>
        <v>116</v>
      </c>
      <c r="J119" s="69" t="s">
        <v>208</v>
      </c>
      <c r="K119" s="68"/>
      <c r="L119" s="70">
        <v>0</v>
      </c>
      <c r="M119" s="70">
        <f t="shared" si="26"/>
        <v>0</v>
      </c>
      <c r="N119" s="68"/>
      <c r="O119" s="70">
        <v>0</v>
      </c>
      <c r="P119" s="70">
        <f t="shared" si="27"/>
        <v>0</v>
      </c>
      <c r="Q119" s="70">
        <f t="shared" si="28"/>
        <v>0</v>
      </c>
      <c r="R119" s="68" t="s">
        <v>24</v>
      </c>
      <c r="S119" s="68"/>
      <c r="T119" s="68"/>
      <c r="U119" s="68"/>
      <c r="V119" s="68"/>
      <c r="W119" s="77"/>
      <c r="X119" s="24"/>
    </row>
    <row r="120" ht="19.8" customHeight="1" spans="1:24">
      <c r="A120" s="13"/>
      <c r="G120" s="48"/>
      <c r="H120" s="55"/>
      <c r="I120" s="68">
        <f t="shared" si="22"/>
        <v>117</v>
      </c>
      <c r="J120" s="69" t="s">
        <v>209</v>
      </c>
      <c r="K120" s="68"/>
      <c r="L120" s="70">
        <v>0</v>
      </c>
      <c r="M120" s="70">
        <f t="shared" si="26"/>
        <v>0</v>
      </c>
      <c r="N120" s="68"/>
      <c r="O120" s="70">
        <v>0</v>
      </c>
      <c r="P120" s="70">
        <f t="shared" si="27"/>
        <v>0</v>
      </c>
      <c r="Q120" s="70">
        <f t="shared" si="28"/>
        <v>0</v>
      </c>
      <c r="R120" s="68" t="s">
        <v>24</v>
      </c>
      <c r="S120" s="68"/>
      <c r="T120" s="68"/>
      <c r="U120" s="68"/>
      <c r="V120" s="68"/>
      <c r="W120" s="77"/>
      <c r="X120" s="24"/>
    </row>
    <row r="121" ht="19.8" customHeight="1" spans="1:24">
      <c r="A121" s="13"/>
      <c r="G121" s="48"/>
      <c r="H121" s="55"/>
      <c r="I121" s="68">
        <f t="shared" si="22"/>
        <v>118</v>
      </c>
      <c r="J121" s="69" t="s">
        <v>210</v>
      </c>
      <c r="K121" s="68"/>
      <c r="L121" s="70">
        <v>0</v>
      </c>
      <c r="M121" s="70">
        <f t="shared" si="26"/>
        <v>0</v>
      </c>
      <c r="N121" s="68"/>
      <c r="O121" s="70">
        <v>0</v>
      </c>
      <c r="P121" s="70">
        <f t="shared" si="27"/>
        <v>0</v>
      </c>
      <c r="Q121" s="70">
        <f t="shared" si="28"/>
        <v>0</v>
      </c>
      <c r="R121" s="68" t="s">
        <v>24</v>
      </c>
      <c r="S121" s="68"/>
      <c r="T121" s="68"/>
      <c r="U121" s="68"/>
      <c r="V121" s="68"/>
      <c r="W121" s="77"/>
      <c r="X121" s="24"/>
    </row>
    <row r="122" ht="19.8" customHeight="1" spans="1:24">
      <c r="A122" s="13"/>
      <c r="G122" s="48"/>
      <c r="H122" s="55"/>
      <c r="I122" s="68">
        <f t="shared" si="22"/>
        <v>119</v>
      </c>
      <c r="J122" s="69" t="s">
        <v>211</v>
      </c>
      <c r="K122" s="68"/>
      <c r="L122" s="70">
        <v>0</v>
      </c>
      <c r="M122" s="70">
        <f t="shared" si="26"/>
        <v>0</v>
      </c>
      <c r="N122" s="68"/>
      <c r="O122" s="70">
        <v>0</v>
      </c>
      <c r="P122" s="70">
        <f t="shared" si="27"/>
        <v>0</v>
      </c>
      <c r="Q122" s="70">
        <f t="shared" si="28"/>
        <v>0</v>
      </c>
      <c r="R122" s="68" t="s">
        <v>24</v>
      </c>
      <c r="S122" s="68"/>
      <c r="T122" s="68"/>
      <c r="U122" s="68"/>
      <c r="V122" s="68"/>
      <c r="W122" s="77"/>
      <c r="X122" s="24"/>
    </row>
    <row r="123" s="2" customFormat="1" ht="35" customHeight="1" spans="1:26">
      <c r="A123" s="29"/>
      <c r="G123" s="79" t="s">
        <v>212</v>
      </c>
      <c r="H123" s="80"/>
      <c r="I123" s="80"/>
      <c r="J123" s="80"/>
      <c r="K123" s="80"/>
      <c r="L123" s="80"/>
      <c r="M123" s="83">
        <f>SUM(M4:M122)</f>
        <v>106096.8</v>
      </c>
      <c r="N123" s="80"/>
      <c r="O123" s="80"/>
      <c r="P123" s="83">
        <f>SUM(P4:P122)</f>
        <v>133533.8</v>
      </c>
      <c r="Q123" s="83">
        <f>SUM(Q4:Q122)</f>
        <v>-27437</v>
      </c>
      <c r="R123" s="80"/>
      <c r="S123" s="80"/>
      <c r="T123" s="80"/>
      <c r="U123" s="80"/>
      <c r="V123" s="80"/>
      <c r="W123" s="84"/>
      <c r="X123" s="37"/>
      <c r="Z123" s="39"/>
    </row>
    <row r="124" spans="1:24">
      <c r="A124" s="13"/>
      <c r="X124" s="24"/>
    </row>
    <row r="125" spans="1:24">
      <c r="A125" s="33"/>
      <c r="B125" s="35"/>
      <c r="C125" s="35"/>
      <c r="D125" s="35"/>
      <c r="E125" s="35"/>
      <c r="F125" s="35"/>
      <c r="G125" s="34"/>
      <c r="H125" s="34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8"/>
      <c r="X125" s="24"/>
    </row>
  </sheetData>
  <mergeCells count="44">
    <mergeCell ref="K2:M2"/>
    <mergeCell ref="N2:P2"/>
    <mergeCell ref="S2:V2"/>
    <mergeCell ref="C5:E5"/>
    <mergeCell ref="C15:C18"/>
    <mergeCell ref="C22:C23"/>
    <mergeCell ref="G2:G3"/>
    <mergeCell ref="G4:G18"/>
    <mergeCell ref="G19:G21"/>
    <mergeCell ref="G22:G25"/>
    <mergeCell ref="G26:G53"/>
    <mergeCell ref="G54:G63"/>
    <mergeCell ref="G64:G69"/>
    <mergeCell ref="G70:G81"/>
    <mergeCell ref="G82:G86"/>
    <mergeCell ref="G87:G122"/>
    <mergeCell ref="H2:H3"/>
    <mergeCell ref="H4:H7"/>
    <mergeCell ref="H8:H15"/>
    <mergeCell ref="H16:H18"/>
    <mergeCell ref="H22:H25"/>
    <mergeCell ref="H26:H28"/>
    <mergeCell ref="H29:H32"/>
    <mergeCell ref="H33:H35"/>
    <mergeCell ref="H36:H39"/>
    <mergeCell ref="H42:H44"/>
    <mergeCell ref="H45:H48"/>
    <mergeCell ref="H49:H52"/>
    <mergeCell ref="H54:H56"/>
    <mergeCell ref="H57:H59"/>
    <mergeCell ref="H61:H62"/>
    <mergeCell ref="H64:H66"/>
    <mergeCell ref="H67:H69"/>
    <mergeCell ref="H70:H71"/>
    <mergeCell ref="H82:H85"/>
    <mergeCell ref="H87:H95"/>
    <mergeCell ref="H96:H114"/>
    <mergeCell ref="H115:H122"/>
    <mergeCell ref="I2:I3"/>
    <mergeCell ref="J2:J3"/>
    <mergeCell ref="Q2:Q3"/>
    <mergeCell ref="R2:R3"/>
    <mergeCell ref="W2:W3"/>
    <mergeCell ref="A2:F3"/>
  </mergeCells>
  <conditionalFormatting sqref="D11:E11">
    <cfRule type="expression" dxfId="0" priority="18">
      <formula>$E$11="是"</formula>
    </cfRule>
  </conditionalFormatting>
  <conditionalFormatting sqref="K13:R13">
    <cfRule type="expression" dxfId="1" priority="1">
      <formula>$R13="已购买"</formula>
    </cfRule>
  </conditionalFormatting>
  <conditionalFormatting sqref="K15:Q15">
    <cfRule type="expression" dxfId="1" priority="2">
      <formula>$R15="已购买"</formula>
    </cfRule>
  </conditionalFormatting>
  <conditionalFormatting sqref="D18:E18">
    <cfRule type="expression" dxfId="0" priority="19">
      <formula>$E$18="是"</formula>
    </cfRule>
  </conditionalFormatting>
  <conditionalFormatting sqref="L20:Q20">
    <cfRule type="expression" dxfId="1" priority="16">
      <formula>$R20="已购买"</formula>
    </cfRule>
  </conditionalFormatting>
  <conditionalFormatting sqref="L37:Q37">
    <cfRule type="expression" dxfId="1" priority="14">
      <formula>$R37="已购买"</formula>
    </cfRule>
  </conditionalFormatting>
  <conditionalFormatting sqref="R37">
    <cfRule type="expression" dxfId="1" priority="15">
      <formula>$R37="已购买"</formula>
    </cfRule>
  </conditionalFormatting>
  <conditionalFormatting sqref="L38:Q38">
    <cfRule type="expression" dxfId="1" priority="12">
      <formula>$R38="已购买"</formula>
    </cfRule>
  </conditionalFormatting>
  <conditionalFormatting sqref="R38">
    <cfRule type="expression" dxfId="1" priority="13">
      <formula>$R38="已购买"</formula>
    </cfRule>
  </conditionalFormatting>
  <conditionalFormatting sqref="L78:Q78">
    <cfRule type="expression" dxfId="1" priority="3">
      <formula>$R78="已购买"</formula>
    </cfRule>
  </conditionalFormatting>
  <conditionalFormatting sqref="R78">
    <cfRule type="expression" dxfId="1" priority="4">
      <formula>$R78="已购买"</formula>
    </cfRule>
  </conditionalFormatting>
  <conditionalFormatting sqref="L80:Q80">
    <cfRule type="expression" dxfId="1" priority="5">
      <formula>$R80="已购买"</formula>
    </cfRule>
  </conditionalFormatting>
  <conditionalFormatting sqref="L92:Q92">
    <cfRule type="expression" dxfId="1" priority="10">
      <formula>$R92="已购买"</formula>
    </cfRule>
  </conditionalFormatting>
  <conditionalFormatting sqref="R92">
    <cfRule type="expression" dxfId="1" priority="11">
      <formula>$R92="已购买"</formula>
    </cfRule>
  </conditionalFormatting>
  <conditionalFormatting sqref="J93:K93">
    <cfRule type="expression" dxfId="1" priority="9">
      <formula>$R93="已购买"</formula>
    </cfRule>
  </conditionalFormatting>
  <conditionalFormatting sqref="L93:Q93">
    <cfRule type="expression" dxfId="1" priority="7">
      <formula>$R93="已购买"</formula>
    </cfRule>
  </conditionalFormatting>
  <conditionalFormatting sqref="R93">
    <cfRule type="expression" dxfId="1" priority="8">
      <formula>$R93="已购买"</formula>
    </cfRule>
  </conditionalFormatting>
  <conditionalFormatting sqref="K4:W12 S13:W13 K14:W14 K16:L17 M16:P19 R15:W15 Q16:W17 L18:L19 Q18:Q19 R18:W18 K18 L21:Q36 L39:Q77 L79:Q79 L81:Q91 L94:Q122">
    <cfRule type="expression" dxfId="1" priority="21">
      <formula>$R4="已购买"</formula>
    </cfRule>
  </conditionalFormatting>
  <conditionalFormatting sqref="R19:W19 S20:W20 J19:K19 R22:W36 S37:W38 R39:W77 J22:K79 S78:W78 R79:W79 S80:W80 R81:W91 J81:K92 S92:W93 R94:W122 J94:J95 K94:K122">
    <cfRule type="expression" dxfId="1" priority="22">
      <formula>$R19="已购买"</formula>
    </cfRule>
  </conditionalFormatting>
  <conditionalFormatting sqref="R20 K20">
    <cfRule type="expression" dxfId="1" priority="17">
      <formula>$R20="已购买"</formula>
    </cfRule>
  </conditionalFormatting>
  <conditionalFormatting sqref="R21:W21 J21:K21">
    <cfRule type="expression" dxfId="1" priority="20">
      <formula>$R21="已购买"</formula>
    </cfRule>
  </conditionalFormatting>
  <conditionalFormatting sqref="R80 J80:K80">
    <cfRule type="expression" dxfId="1" priority="6">
      <formula>$R80="已购买"</formula>
    </cfRule>
  </conditionalFormatting>
  <dataValidations count="1">
    <dataValidation type="list" allowBlank="1" showInputMessage="1" showErrorMessage="1" sqref="R4:R122">
      <formula1>"已购买,未购买"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13"/>
  <sheetViews>
    <sheetView zoomScale="70" zoomScaleNormal="70" workbookViewId="0">
      <pane xSplit="5" ySplit="3" topLeftCell="F4" activePane="bottomRight" state="frozen"/>
      <selection/>
      <selection pane="topRight"/>
      <selection pane="bottomLeft"/>
      <selection pane="bottomRight" activeCell="H15" sqref="H15"/>
    </sheetView>
  </sheetViews>
  <sheetFormatPr defaultColWidth="9" defaultRowHeight="13.5"/>
  <cols>
    <col min="1" max="1" width="2.5929203539823" style="1" customWidth="1"/>
    <col min="2" max="2" width="14.7787610619469" style="2" customWidth="1"/>
    <col min="3" max="3" width="20.9469026548673" style="2" customWidth="1"/>
    <col min="4" max="4" width="8.7787610619469" style="1" customWidth="1"/>
    <col min="5" max="5" width="24.7787610619469" style="1" customWidth="1"/>
    <col min="6" max="6" width="8.33628318584071" style="1" customWidth="1"/>
    <col min="7" max="7" width="20.8495575221239" style="1" customWidth="1"/>
    <col min="8" max="8" width="14.3805309734513" style="1" customWidth="1"/>
    <col min="9" max="9" width="8.61061946902655" style="1" customWidth="1"/>
    <col min="10" max="10" width="13.1946902654867" style="1" customWidth="1"/>
    <col min="11" max="11" width="13.5929203539823" style="1" customWidth="1"/>
    <col min="12" max="12" width="16.0353982300885" style="1" customWidth="1"/>
    <col min="13" max="13" width="12.0353982300885" style="1" customWidth="1"/>
    <col min="14" max="15" width="6.33628318584071" style="1" customWidth="1"/>
    <col min="16" max="16" width="8.69911504424779" style="1" customWidth="1"/>
    <col min="17" max="18" width="6.33628318584071" style="1" customWidth="1"/>
    <col min="19" max="19" width="7.9646017699115" style="1" customWidth="1"/>
    <col min="20" max="20" width="6.66371681415929" style="1" customWidth="1"/>
    <col min="21" max="21" width="6.33628318584071" style="1" customWidth="1"/>
    <col min="22" max="22" width="25.7345132743363" style="3" customWidth="1"/>
    <col min="23" max="23" width="2.7787610619469" style="4" customWidth="1"/>
    <col min="24" max="24" width="9" style="1"/>
    <col min="25" max="25" width="9" style="4"/>
    <col min="26" max="16384" width="9" style="1"/>
  </cols>
  <sheetData>
    <row r="1" ht="80" customHeight="1" spans="2:2">
      <c r="B1" s="5" t="s">
        <v>0</v>
      </c>
    </row>
    <row r="2" s="1" customFormat="1" ht="25.1" spans="1:25">
      <c r="A2" s="6"/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/>
      <c r="H2" s="8"/>
      <c r="I2" s="8" t="s">
        <v>6</v>
      </c>
      <c r="J2" s="8"/>
      <c r="K2" s="8"/>
      <c r="L2" s="21" t="s">
        <v>7</v>
      </c>
      <c r="M2" s="21" t="s">
        <v>8</v>
      </c>
      <c r="N2" s="8" t="s">
        <v>9</v>
      </c>
      <c r="O2" s="8"/>
      <c r="P2" s="8"/>
      <c r="Q2" s="8"/>
      <c r="R2" s="8"/>
      <c r="S2" s="8"/>
      <c r="T2" s="8"/>
      <c r="U2" s="8"/>
      <c r="V2" s="23" t="s">
        <v>10</v>
      </c>
      <c r="W2" s="24"/>
      <c r="Y2" s="4"/>
    </row>
    <row r="3" ht="45" customHeight="1" spans="1:25">
      <c r="A3" s="9"/>
      <c r="B3" s="10"/>
      <c r="C3" s="11"/>
      <c r="D3" s="11"/>
      <c r="E3" s="11"/>
      <c r="F3" s="12" t="s">
        <v>11</v>
      </c>
      <c r="G3" s="12" t="s">
        <v>12</v>
      </c>
      <c r="H3" s="12" t="s">
        <v>13</v>
      </c>
      <c r="I3" s="12" t="s">
        <v>14</v>
      </c>
      <c r="J3" s="12" t="s">
        <v>15</v>
      </c>
      <c r="K3" s="12" t="s">
        <v>16</v>
      </c>
      <c r="L3" s="22"/>
      <c r="M3" s="22"/>
      <c r="N3" s="12" t="s">
        <v>17</v>
      </c>
      <c r="O3" s="12" t="s">
        <v>213</v>
      </c>
      <c r="P3" s="12" t="s">
        <v>18</v>
      </c>
      <c r="Q3" s="12" t="s">
        <v>19</v>
      </c>
      <c r="R3" s="12" t="s">
        <v>214</v>
      </c>
      <c r="S3" s="12" t="s">
        <v>20</v>
      </c>
      <c r="T3" s="12" t="s">
        <v>215</v>
      </c>
      <c r="U3" s="12" t="s">
        <v>216</v>
      </c>
      <c r="V3" s="25"/>
      <c r="W3" s="24"/>
      <c r="Y3" s="27"/>
    </row>
    <row r="4" ht="19.8" customHeight="1" spans="1:27">
      <c r="A4" s="13"/>
      <c r="B4" s="14" t="s">
        <v>21</v>
      </c>
      <c r="C4" s="15" t="s">
        <v>22</v>
      </c>
      <c r="D4" s="16">
        <f>ROW()-3</f>
        <v>1</v>
      </c>
      <c r="E4" s="17" t="s">
        <v>23</v>
      </c>
      <c r="F4" s="16">
        <v>1</v>
      </c>
      <c r="G4" s="18">
        <v>8000</v>
      </c>
      <c r="H4" s="18">
        <f>F4*G4</f>
        <v>8000</v>
      </c>
      <c r="I4" s="16">
        <v>1</v>
      </c>
      <c r="J4" s="18">
        <v>8000</v>
      </c>
      <c r="K4" s="18">
        <f>I4*J4</f>
        <v>8000</v>
      </c>
      <c r="L4" s="18">
        <f>H4-K4</f>
        <v>0</v>
      </c>
      <c r="M4" s="16" t="s">
        <v>34</v>
      </c>
      <c r="N4" s="16"/>
      <c r="O4" s="16"/>
      <c r="P4" s="16"/>
      <c r="Q4" s="16"/>
      <c r="R4" s="16"/>
      <c r="S4" s="16"/>
      <c r="T4" s="16"/>
      <c r="U4" s="16"/>
      <c r="V4" s="26"/>
      <c r="W4" s="24"/>
      <c r="X4" s="4"/>
      <c r="Z4" s="4"/>
      <c r="AA4" s="4"/>
    </row>
    <row r="5" ht="19.8" customHeight="1" spans="1:32">
      <c r="A5" s="13"/>
      <c r="B5" s="14"/>
      <c r="C5" s="15"/>
      <c r="D5" s="16">
        <f t="shared" ref="D5:D14" si="0">ROW()-3</f>
        <v>2</v>
      </c>
      <c r="E5" s="17" t="s">
        <v>26</v>
      </c>
      <c r="F5" s="16"/>
      <c r="G5" s="18">
        <v>0</v>
      </c>
      <c r="H5" s="18">
        <f t="shared" ref="H5:H36" si="1">F5*G5</f>
        <v>0</v>
      </c>
      <c r="I5" s="16"/>
      <c r="J5" s="18">
        <v>0</v>
      </c>
      <c r="K5" s="18">
        <f t="shared" ref="K5:K36" si="2">I5*J5</f>
        <v>0</v>
      </c>
      <c r="L5" s="18">
        <f t="shared" ref="L5:L36" si="3">H5-K5</f>
        <v>0</v>
      </c>
      <c r="M5" s="16" t="s">
        <v>24</v>
      </c>
      <c r="N5" s="16"/>
      <c r="O5" s="16"/>
      <c r="P5" s="16"/>
      <c r="Q5" s="16"/>
      <c r="R5" s="16"/>
      <c r="S5" s="16"/>
      <c r="T5" s="16"/>
      <c r="U5" s="16"/>
      <c r="V5" s="26"/>
      <c r="W5" s="24"/>
      <c r="X5" s="4"/>
      <c r="Z5" s="4"/>
      <c r="AA5" s="4"/>
      <c r="AB5" s="4"/>
      <c r="AC5" s="4"/>
      <c r="AD5" s="4"/>
      <c r="AE5" s="4"/>
      <c r="AF5" s="4"/>
    </row>
    <row r="6" ht="19.8" customHeight="1" spans="1:32">
      <c r="A6" s="13"/>
      <c r="B6" s="14"/>
      <c r="C6" s="15"/>
      <c r="D6" s="16">
        <f t="shared" si="0"/>
        <v>3</v>
      </c>
      <c r="E6" s="17" t="s">
        <v>27</v>
      </c>
      <c r="F6" s="16"/>
      <c r="G6" s="18">
        <v>0</v>
      </c>
      <c r="H6" s="18">
        <f t="shared" si="1"/>
        <v>0</v>
      </c>
      <c r="I6" s="16"/>
      <c r="J6" s="18">
        <v>0</v>
      </c>
      <c r="K6" s="18">
        <f t="shared" si="2"/>
        <v>0</v>
      </c>
      <c r="L6" s="18">
        <f t="shared" si="3"/>
        <v>0</v>
      </c>
      <c r="M6" s="16" t="s">
        <v>24</v>
      </c>
      <c r="N6" s="16"/>
      <c r="O6" s="16"/>
      <c r="P6" s="16"/>
      <c r="Q6" s="16"/>
      <c r="R6" s="16"/>
      <c r="S6" s="16"/>
      <c r="T6" s="16"/>
      <c r="U6" s="16"/>
      <c r="V6" s="26"/>
      <c r="W6" s="24"/>
      <c r="X6" s="4"/>
      <c r="Z6" s="4"/>
      <c r="AA6" s="4"/>
      <c r="AB6" s="4"/>
      <c r="AC6" s="4"/>
      <c r="AD6" s="4"/>
      <c r="AE6" s="4"/>
      <c r="AF6" s="4"/>
    </row>
    <row r="7" ht="19.8" customHeight="1" spans="1:32">
      <c r="A7" s="13"/>
      <c r="B7" s="14"/>
      <c r="C7" s="15"/>
      <c r="D7" s="16">
        <f t="shared" si="0"/>
        <v>4</v>
      </c>
      <c r="E7" s="17" t="s">
        <v>30</v>
      </c>
      <c r="F7" s="16"/>
      <c r="G7" s="18">
        <v>0</v>
      </c>
      <c r="H7" s="18">
        <f t="shared" si="1"/>
        <v>0</v>
      </c>
      <c r="I7" s="16"/>
      <c r="J7" s="18">
        <v>0</v>
      </c>
      <c r="K7" s="18">
        <f t="shared" si="2"/>
        <v>0</v>
      </c>
      <c r="L7" s="18">
        <f t="shared" si="3"/>
        <v>0</v>
      </c>
      <c r="M7" s="16" t="s">
        <v>24</v>
      </c>
      <c r="N7" s="16"/>
      <c r="O7" s="16"/>
      <c r="P7" s="16"/>
      <c r="Q7" s="16"/>
      <c r="R7" s="16"/>
      <c r="S7" s="16"/>
      <c r="T7" s="16"/>
      <c r="U7" s="16"/>
      <c r="V7" s="26"/>
      <c r="W7" s="24"/>
      <c r="X7" s="4"/>
      <c r="Z7" s="4"/>
      <c r="AA7" s="4"/>
      <c r="AB7" s="4"/>
      <c r="AC7" s="4"/>
      <c r="AD7" s="4"/>
      <c r="AE7" s="4"/>
      <c r="AF7" s="4"/>
    </row>
    <row r="8" ht="19.8" customHeight="1" spans="1:32">
      <c r="A8" s="13"/>
      <c r="B8" s="14"/>
      <c r="C8" s="19" t="s">
        <v>32</v>
      </c>
      <c r="D8" s="16">
        <f t="shared" si="0"/>
        <v>5</v>
      </c>
      <c r="E8" s="17" t="s">
        <v>33</v>
      </c>
      <c r="F8" s="16"/>
      <c r="G8" s="18">
        <v>0</v>
      </c>
      <c r="H8" s="18">
        <f t="shared" si="1"/>
        <v>0</v>
      </c>
      <c r="I8" s="16"/>
      <c r="J8" s="18">
        <v>0</v>
      </c>
      <c r="K8" s="18">
        <f t="shared" si="2"/>
        <v>0</v>
      </c>
      <c r="L8" s="18">
        <f t="shared" si="3"/>
        <v>0</v>
      </c>
      <c r="M8" s="16" t="s">
        <v>24</v>
      </c>
      <c r="N8" s="16"/>
      <c r="O8" s="16"/>
      <c r="P8" s="16"/>
      <c r="Q8" s="16"/>
      <c r="R8" s="16"/>
      <c r="S8" s="16"/>
      <c r="T8" s="16"/>
      <c r="U8" s="16"/>
      <c r="V8" s="26"/>
      <c r="W8" s="24"/>
      <c r="X8" s="4"/>
      <c r="Z8" s="4"/>
      <c r="AA8" s="4"/>
      <c r="AB8" s="4"/>
      <c r="AC8" s="4"/>
      <c r="AD8" s="4"/>
      <c r="AE8" s="4"/>
      <c r="AF8" s="4"/>
    </row>
    <row r="9" ht="19.8" customHeight="1" spans="1:32">
      <c r="A9" s="13"/>
      <c r="B9" s="14"/>
      <c r="C9" s="19"/>
      <c r="D9" s="16">
        <f t="shared" si="0"/>
        <v>6</v>
      </c>
      <c r="E9" s="17" t="s">
        <v>37</v>
      </c>
      <c r="F9" s="16"/>
      <c r="G9" s="18">
        <v>0</v>
      </c>
      <c r="H9" s="18">
        <f t="shared" si="1"/>
        <v>0</v>
      </c>
      <c r="I9" s="16"/>
      <c r="J9" s="18">
        <v>0</v>
      </c>
      <c r="K9" s="18">
        <f t="shared" si="2"/>
        <v>0</v>
      </c>
      <c r="L9" s="18">
        <f t="shared" si="3"/>
        <v>0</v>
      </c>
      <c r="M9" s="16" t="s">
        <v>24</v>
      </c>
      <c r="N9" s="16"/>
      <c r="O9" s="16"/>
      <c r="P9" s="16"/>
      <c r="Q9" s="16"/>
      <c r="R9" s="16"/>
      <c r="S9" s="16"/>
      <c r="T9" s="16"/>
      <c r="U9" s="16"/>
      <c r="V9" s="26"/>
      <c r="W9" s="24"/>
      <c r="X9" s="4"/>
      <c r="Z9" s="4"/>
      <c r="AA9" s="4"/>
      <c r="AB9" s="4"/>
      <c r="AC9" s="4"/>
      <c r="AD9" s="4"/>
      <c r="AE9" s="4"/>
      <c r="AF9" s="4"/>
    </row>
    <row r="10" ht="19.8" customHeight="1" spans="1:32">
      <c r="A10" s="13"/>
      <c r="B10" s="14"/>
      <c r="C10" s="19"/>
      <c r="D10" s="16">
        <f t="shared" si="0"/>
        <v>7</v>
      </c>
      <c r="E10" s="17" t="s">
        <v>41</v>
      </c>
      <c r="F10" s="16">
        <v>1</v>
      </c>
      <c r="G10" s="18">
        <v>10000</v>
      </c>
      <c r="H10" s="18">
        <f t="shared" si="1"/>
        <v>10000</v>
      </c>
      <c r="I10" s="16"/>
      <c r="J10" s="18">
        <v>0</v>
      </c>
      <c r="K10" s="18">
        <f t="shared" si="2"/>
        <v>0</v>
      </c>
      <c r="L10" s="18">
        <f t="shared" si="3"/>
        <v>10000</v>
      </c>
      <c r="M10" s="16" t="s">
        <v>24</v>
      </c>
      <c r="N10" s="16"/>
      <c r="O10" s="16"/>
      <c r="P10" s="16"/>
      <c r="Q10" s="16"/>
      <c r="R10" s="16"/>
      <c r="S10" s="16"/>
      <c r="T10" s="16"/>
      <c r="U10" s="16"/>
      <c r="V10" s="26"/>
      <c r="W10" s="24"/>
      <c r="X10" s="4"/>
      <c r="Z10" s="4"/>
      <c r="AA10" s="4"/>
      <c r="AB10" s="4"/>
      <c r="AC10" s="4"/>
      <c r="AD10" s="4"/>
      <c r="AE10" s="4"/>
      <c r="AF10" s="4"/>
    </row>
    <row r="11" ht="19.8" customHeight="1" spans="1:32">
      <c r="A11" s="13"/>
      <c r="B11" s="14"/>
      <c r="C11" s="19"/>
      <c r="D11" s="16">
        <f t="shared" si="0"/>
        <v>8</v>
      </c>
      <c r="E11" s="17" t="s">
        <v>43</v>
      </c>
      <c r="F11" s="16"/>
      <c r="G11" s="18">
        <v>0</v>
      </c>
      <c r="H11" s="18">
        <f t="shared" si="1"/>
        <v>0</v>
      </c>
      <c r="I11" s="16"/>
      <c r="J11" s="18">
        <v>0</v>
      </c>
      <c r="K11" s="18">
        <f t="shared" si="2"/>
        <v>0</v>
      </c>
      <c r="L11" s="18">
        <f t="shared" si="3"/>
        <v>0</v>
      </c>
      <c r="M11" s="16" t="s">
        <v>24</v>
      </c>
      <c r="N11" s="16"/>
      <c r="O11" s="16"/>
      <c r="P11" s="16"/>
      <c r="Q11" s="16"/>
      <c r="R11" s="16"/>
      <c r="S11" s="16"/>
      <c r="T11" s="16"/>
      <c r="U11" s="16"/>
      <c r="V11" s="26"/>
      <c r="W11" s="24"/>
      <c r="X11" s="4"/>
      <c r="Z11" s="4"/>
      <c r="AA11" s="4"/>
      <c r="AB11" s="4"/>
      <c r="AC11" s="4"/>
      <c r="AD11" s="4"/>
      <c r="AE11" s="4"/>
      <c r="AF11" s="4"/>
    </row>
    <row r="12" ht="19.8" customHeight="1" spans="1:32">
      <c r="A12" s="13"/>
      <c r="B12" s="14"/>
      <c r="C12" s="19"/>
      <c r="D12" s="16">
        <f t="shared" si="0"/>
        <v>9</v>
      </c>
      <c r="E12" s="17" t="s">
        <v>44</v>
      </c>
      <c r="F12" s="16"/>
      <c r="G12" s="18">
        <v>0</v>
      </c>
      <c r="H12" s="18">
        <f t="shared" si="1"/>
        <v>0</v>
      </c>
      <c r="I12" s="16"/>
      <c r="J12" s="18">
        <v>0</v>
      </c>
      <c r="K12" s="18">
        <f t="shared" si="2"/>
        <v>0</v>
      </c>
      <c r="L12" s="18">
        <f t="shared" si="3"/>
        <v>0</v>
      </c>
      <c r="M12" s="16" t="s">
        <v>24</v>
      </c>
      <c r="N12" s="16"/>
      <c r="O12" s="16"/>
      <c r="P12" s="16"/>
      <c r="Q12" s="16"/>
      <c r="R12" s="16"/>
      <c r="S12" s="16"/>
      <c r="T12" s="16"/>
      <c r="U12" s="16"/>
      <c r="V12" s="26"/>
      <c r="W12" s="24"/>
      <c r="X12" s="4"/>
      <c r="Z12" s="4"/>
      <c r="AA12" s="4"/>
      <c r="AB12" s="4"/>
      <c r="AC12" s="4"/>
      <c r="AD12" s="4"/>
      <c r="AE12" s="4"/>
      <c r="AF12" s="4"/>
    </row>
    <row r="13" ht="19.8" customHeight="1" spans="1:32">
      <c r="A13" s="13"/>
      <c r="B13" s="14"/>
      <c r="C13" s="19"/>
      <c r="D13" s="16">
        <f t="shared" si="0"/>
        <v>10</v>
      </c>
      <c r="E13" s="17" t="s">
        <v>45</v>
      </c>
      <c r="F13" s="16"/>
      <c r="G13" s="18">
        <v>0</v>
      </c>
      <c r="H13" s="18">
        <f t="shared" si="1"/>
        <v>0</v>
      </c>
      <c r="I13" s="16"/>
      <c r="J13" s="18">
        <v>0</v>
      </c>
      <c r="K13" s="18">
        <f t="shared" si="2"/>
        <v>0</v>
      </c>
      <c r="L13" s="18">
        <f t="shared" si="3"/>
        <v>0</v>
      </c>
      <c r="M13" s="16" t="s">
        <v>24</v>
      </c>
      <c r="N13" s="16"/>
      <c r="O13" s="16"/>
      <c r="P13" s="16"/>
      <c r="Q13" s="16"/>
      <c r="R13" s="16"/>
      <c r="S13" s="16"/>
      <c r="T13" s="16"/>
      <c r="U13" s="16"/>
      <c r="V13" s="26"/>
      <c r="W13" s="24"/>
      <c r="X13" s="4"/>
      <c r="Z13" s="4"/>
      <c r="AA13" s="4"/>
      <c r="AB13" s="4"/>
      <c r="AC13" s="4"/>
      <c r="AD13" s="4"/>
      <c r="AE13" s="4"/>
      <c r="AF13" s="4"/>
    </row>
    <row r="14" ht="19.8" customHeight="1" spans="1:32">
      <c r="A14" s="13"/>
      <c r="B14" s="14"/>
      <c r="C14" s="19"/>
      <c r="D14" s="16">
        <f t="shared" si="0"/>
        <v>11</v>
      </c>
      <c r="E14" s="17" t="s">
        <v>48</v>
      </c>
      <c r="F14" s="16"/>
      <c r="G14" s="18">
        <v>0</v>
      </c>
      <c r="H14" s="18">
        <f t="shared" si="1"/>
        <v>0</v>
      </c>
      <c r="I14" s="16"/>
      <c r="J14" s="18">
        <v>0</v>
      </c>
      <c r="K14" s="18">
        <f t="shared" si="2"/>
        <v>0</v>
      </c>
      <c r="L14" s="18">
        <f t="shared" si="3"/>
        <v>0</v>
      </c>
      <c r="M14" s="16" t="s">
        <v>24</v>
      </c>
      <c r="N14" s="16"/>
      <c r="O14" s="16"/>
      <c r="P14" s="16"/>
      <c r="Q14" s="16"/>
      <c r="R14" s="16"/>
      <c r="S14" s="16"/>
      <c r="T14" s="16"/>
      <c r="U14" s="16"/>
      <c r="V14" s="26"/>
      <c r="W14" s="24"/>
      <c r="X14" s="4"/>
      <c r="Z14" s="4"/>
      <c r="AA14" s="4"/>
      <c r="AB14" s="4"/>
      <c r="AC14" s="4"/>
      <c r="AD14" s="4"/>
      <c r="AE14" s="4"/>
      <c r="AF14" s="4"/>
    </row>
    <row r="15" ht="19.8" customHeight="1" spans="1:32">
      <c r="A15" s="13"/>
      <c r="B15" s="14"/>
      <c r="C15" s="19" t="s">
        <v>50</v>
      </c>
      <c r="D15" s="16">
        <f t="shared" ref="D15:D24" si="4">ROW()-3</f>
        <v>12</v>
      </c>
      <c r="E15" s="17" t="s">
        <v>217</v>
      </c>
      <c r="F15" s="16"/>
      <c r="G15" s="18">
        <v>0</v>
      </c>
      <c r="H15" s="18">
        <f t="shared" si="1"/>
        <v>0</v>
      </c>
      <c r="I15" s="16"/>
      <c r="J15" s="18">
        <v>0</v>
      </c>
      <c r="K15" s="18">
        <f t="shared" si="2"/>
        <v>0</v>
      </c>
      <c r="L15" s="18">
        <f t="shared" si="3"/>
        <v>0</v>
      </c>
      <c r="M15" s="16" t="s">
        <v>24</v>
      </c>
      <c r="N15" s="16"/>
      <c r="O15" s="16"/>
      <c r="P15" s="16"/>
      <c r="Q15" s="16"/>
      <c r="R15" s="16"/>
      <c r="S15" s="16"/>
      <c r="T15" s="16"/>
      <c r="U15" s="16"/>
      <c r="V15" s="26"/>
      <c r="W15" s="24"/>
      <c r="X15" s="4"/>
      <c r="Z15" s="4"/>
      <c r="AA15" s="4"/>
      <c r="AB15" s="4"/>
      <c r="AC15" s="4"/>
      <c r="AD15" s="4"/>
      <c r="AE15" s="4"/>
      <c r="AF15" s="4"/>
    </row>
    <row r="16" ht="19.8" customHeight="1" spans="1:37">
      <c r="A16" s="13"/>
      <c r="B16" s="14"/>
      <c r="C16" s="19"/>
      <c r="D16" s="16">
        <f t="shared" si="4"/>
        <v>13</v>
      </c>
      <c r="E16" s="17" t="s">
        <v>54</v>
      </c>
      <c r="F16" s="16"/>
      <c r="G16" s="18">
        <v>0</v>
      </c>
      <c r="H16" s="18">
        <f t="shared" si="1"/>
        <v>0</v>
      </c>
      <c r="I16" s="16"/>
      <c r="J16" s="18">
        <v>0</v>
      </c>
      <c r="K16" s="18">
        <f t="shared" si="2"/>
        <v>0</v>
      </c>
      <c r="L16" s="18">
        <f t="shared" si="3"/>
        <v>0</v>
      </c>
      <c r="M16" s="16" t="s">
        <v>24</v>
      </c>
      <c r="N16" s="16"/>
      <c r="O16" s="16"/>
      <c r="P16" s="16"/>
      <c r="Q16" s="16"/>
      <c r="R16" s="16"/>
      <c r="S16" s="16"/>
      <c r="T16" s="16"/>
      <c r="U16" s="16"/>
      <c r="V16" s="26"/>
      <c r="W16" s="24"/>
      <c r="X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ht="19.8" customHeight="1" spans="1:37">
      <c r="A17" s="13"/>
      <c r="B17" s="14"/>
      <c r="C17" s="19"/>
      <c r="D17" s="16">
        <f t="shared" si="4"/>
        <v>14</v>
      </c>
      <c r="E17" s="17" t="s">
        <v>55</v>
      </c>
      <c r="F17" s="16"/>
      <c r="G17" s="18">
        <v>0</v>
      </c>
      <c r="H17" s="18">
        <f t="shared" si="1"/>
        <v>0</v>
      </c>
      <c r="I17" s="16"/>
      <c r="J17" s="18">
        <v>0</v>
      </c>
      <c r="K17" s="18">
        <f t="shared" si="2"/>
        <v>0</v>
      </c>
      <c r="L17" s="18">
        <f t="shared" si="3"/>
        <v>0</v>
      </c>
      <c r="M17" s="16" t="s">
        <v>24</v>
      </c>
      <c r="N17" s="16"/>
      <c r="O17" s="16"/>
      <c r="P17" s="16"/>
      <c r="Q17" s="16"/>
      <c r="R17" s="16"/>
      <c r="S17" s="16"/>
      <c r="T17" s="16"/>
      <c r="U17" s="16"/>
      <c r="V17" s="26"/>
      <c r="W17" s="24"/>
      <c r="X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ht="19.8" customHeight="1" spans="1:37">
      <c r="A18" s="13"/>
      <c r="B18" s="14" t="s">
        <v>56</v>
      </c>
      <c r="C18" s="20" t="s">
        <v>57</v>
      </c>
      <c r="D18" s="16">
        <f t="shared" si="4"/>
        <v>15</v>
      </c>
      <c r="E18" s="16" t="s">
        <v>58</v>
      </c>
      <c r="F18" s="16"/>
      <c r="G18" s="18">
        <v>0</v>
      </c>
      <c r="H18" s="18">
        <f t="shared" si="1"/>
        <v>0</v>
      </c>
      <c r="I18" s="16"/>
      <c r="J18" s="18">
        <v>0</v>
      </c>
      <c r="K18" s="18">
        <f t="shared" si="2"/>
        <v>0</v>
      </c>
      <c r="L18" s="18">
        <f t="shared" si="3"/>
        <v>0</v>
      </c>
      <c r="M18" s="16" t="s">
        <v>24</v>
      </c>
      <c r="N18" s="16"/>
      <c r="O18" s="16"/>
      <c r="P18" s="16"/>
      <c r="Q18" s="16"/>
      <c r="R18" s="16"/>
      <c r="S18" s="16"/>
      <c r="T18" s="16"/>
      <c r="U18" s="16"/>
      <c r="V18" s="26" t="s">
        <v>59</v>
      </c>
      <c r="W18" s="24"/>
      <c r="X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ht="19.8" customHeight="1" spans="1:37">
      <c r="A19" s="13"/>
      <c r="B19" s="14"/>
      <c r="C19" s="20" t="s">
        <v>61</v>
      </c>
      <c r="D19" s="16">
        <f t="shared" si="4"/>
        <v>16</v>
      </c>
      <c r="E19" s="16" t="s">
        <v>61</v>
      </c>
      <c r="F19" s="16"/>
      <c r="G19" s="18">
        <v>0</v>
      </c>
      <c r="H19" s="18">
        <f t="shared" si="1"/>
        <v>0</v>
      </c>
      <c r="I19" s="16"/>
      <c r="J19" s="18">
        <v>0</v>
      </c>
      <c r="K19" s="18">
        <f t="shared" si="2"/>
        <v>0</v>
      </c>
      <c r="L19" s="18">
        <f t="shared" si="3"/>
        <v>0</v>
      </c>
      <c r="M19" s="16" t="s">
        <v>24</v>
      </c>
      <c r="N19" s="16"/>
      <c r="O19" s="16"/>
      <c r="P19" s="16"/>
      <c r="Q19" s="16"/>
      <c r="R19" s="16"/>
      <c r="S19" s="16"/>
      <c r="T19" s="16"/>
      <c r="U19" s="16"/>
      <c r="V19" s="26" t="s">
        <v>62</v>
      </c>
      <c r="W19" s="24"/>
      <c r="X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ht="19.8" customHeight="1" spans="1:37">
      <c r="A20" s="13"/>
      <c r="B20" s="14" t="s">
        <v>64</v>
      </c>
      <c r="C20" s="20" t="s">
        <v>65</v>
      </c>
      <c r="D20" s="16">
        <f t="shared" si="4"/>
        <v>17</v>
      </c>
      <c r="E20" s="16" t="s">
        <v>66</v>
      </c>
      <c r="F20" s="16"/>
      <c r="G20" s="18">
        <v>0</v>
      </c>
      <c r="H20" s="18">
        <f t="shared" si="1"/>
        <v>0</v>
      </c>
      <c r="I20" s="16"/>
      <c r="J20" s="18">
        <v>0</v>
      </c>
      <c r="K20" s="18">
        <f t="shared" si="2"/>
        <v>0</v>
      </c>
      <c r="L20" s="18">
        <f t="shared" si="3"/>
        <v>0</v>
      </c>
      <c r="M20" s="16" t="s">
        <v>24</v>
      </c>
      <c r="N20" s="16"/>
      <c r="O20" s="16"/>
      <c r="P20" s="16"/>
      <c r="Q20" s="16"/>
      <c r="R20" s="16"/>
      <c r="S20" s="16"/>
      <c r="T20" s="16"/>
      <c r="U20" s="16"/>
      <c r="V20" s="26" t="s">
        <v>67</v>
      </c>
      <c r="W20" s="24"/>
      <c r="X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ht="19.8" customHeight="1" spans="1:37">
      <c r="A21" s="13"/>
      <c r="B21" s="14"/>
      <c r="C21" s="20"/>
      <c r="D21" s="16">
        <f t="shared" si="4"/>
        <v>18</v>
      </c>
      <c r="E21" s="16" t="s">
        <v>69</v>
      </c>
      <c r="F21" s="16"/>
      <c r="G21" s="18">
        <v>0</v>
      </c>
      <c r="H21" s="18">
        <f t="shared" si="1"/>
        <v>0</v>
      </c>
      <c r="I21" s="16"/>
      <c r="J21" s="18">
        <v>0</v>
      </c>
      <c r="K21" s="18">
        <f t="shared" si="2"/>
        <v>0</v>
      </c>
      <c r="L21" s="18">
        <f t="shared" si="3"/>
        <v>0</v>
      </c>
      <c r="M21" s="16" t="s">
        <v>24</v>
      </c>
      <c r="N21" s="16"/>
      <c r="O21" s="16"/>
      <c r="P21" s="16"/>
      <c r="Q21" s="16"/>
      <c r="R21" s="16"/>
      <c r="S21" s="16"/>
      <c r="T21" s="16"/>
      <c r="U21" s="16"/>
      <c r="V21" s="26"/>
      <c r="W21" s="24"/>
      <c r="X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ht="19.8" customHeight="1" spans="1:37">
      <c r="A22" s="13"/>
      <c r="B22" s="14"/>
      <c r="C22" s="20"/>
      <c r="D22" s="16">
        <f t="shared" si="4"/>
        <v>19</v>
      </c>
      <c r="E22" s="16" t="s">
        <v>70</v>
      </c>
      <c r="F22" s="16"/>
      <c r="G22" s="18">
        <v>0</v>
      </c>
      <c r="H22" s="18">
        <f t="shared" si="1"/>
        <v>0</v>
      </c>
      <c r="I22" s="16"/>
      <c r="J22" s="18">
        <v>0</v>
      </c>
      <c r="K22" s="18">
        <f t="shared" si="2"/>
        <v>0</v>
      </c>
      <c r="L22" s="18">
        <f t="shared" si="3"/>
        <v>0</v>
      </c>
      <c r="M22" s="16" t="s">
        <v>24</v>
      </c>
      <c r="N22" s="16"/>
      <c r="O22" s="16"/>
      <c r="P22" s="16"/>
      <c r="Q22" s="16"/>
      <c r="R22" s="16"/>
      <c r="S22" s="16"/>
      <c r="T22" s="16"/>
      <c r="U22" s="16"/>
      <c r="V22" s="26"/>
      <c r="W22" s="24"/>
      <c r="X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ht="19.8" customHeight="1" spans="1:37">
      <c r="A23" s="13"/>
      <c r="B23" s="14"/>
      <c r="C23" s="20"/>
      <c r="D23" s="16">
        <f t="shared" si="4"/>
        <v>20</v>
      </c>
      <c r="E23" s="16" t="s">
        <v>71</v>
      </c>
      <c r="F23" s="16"/>
      <c r="G23" s="18">
        <v>0</v>
      </c>
      <c r="H23" s="18">
        <f t="shared" si="1"/>
        <v>0</v>
      </c>
      <c r="I23" s="16"/>
      <c r="J23" s="18">
        <v>0</v>
      </c>
      <c r="K23" s="18">
        <f t="shared" si="2"/>
        <v>0</v>
      </c>
      <c r="L23" s="18">
        <f t="shared" si="3"/>
        <v>0</v>
      </c>
      <c r="M23" s="16" t="s">
        <v>24</v>
      </c>
      <c r="N23" s="16"/>
      <c r="O23" s="16"/>
      <c r="P23" s="16"/>
      <c r="Q23" s="16"/>
      <c r="R23" s="16"/>
      <c r="S23" s="16"/>
      <c r="T23" s="16"/>
      <c r="U23" s="16"/>
      <c r="V23" s="26"/>
      <c r="W23" s="24"/>
      <c r="X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ht="19.8" customHeight="1" spans="1:37">
      <c r="A24" s="13"/>
      <c r="B24" s="14" t="s">
        <v>72</v>
      </c>
      <c r="C24" s="20" t="s">
        <v>73</v>
      </c>
      <c r="D24" s="16">
        <f t="shared" si="4"/>
        <v>21</v>
      </c>
      <c r="E24" s="16" t="s">
        <v>74</v>
      </c>
      <c r="F24" s="16"/>
      <c r="G24" s="18">
        <v>0</v>
      </c>
      <c r="H24" s="18">
        <f t="shared" si="1"/>
        <v>0</v>
      </c>
      <c r="I24" s="16"/>
      <c r="J24" s="18">
        <v>0</v>
      </c>
      <c r="K24" s="18">
        <f t="shared" si="2"/>
        <v>0</v>
      </c>
      <c r="L24" s="18">
        <f t="shared" si="3"/>
        <v>0</v>
      </c>
      <c r="M24" s="16" t="s">
        <v>24</v>
      </c>
      <c r="N24" s="16"/>
      <c r="O24" s="16"/>
      <c r="P24" s="16"/>
      <c r="Q24" s="16"/>
      <c r="R24" s="16"/>
      <c r="S24" s="16"/>
      <c r="T24" s="16"/>
      <c r="U24" s="16"/>
      <c r="V24" s="26" t="s">
        <v>218</v>
      </c>
      <c r="W24" s="24"/>
      <c r="X24" s="4"/>
      <c r="Z24" s="4"/>
      <c r="AA24" s="4"/>
      <c r="AE24" s="4"/>
      <c r="AF24" s="4"/>
      <c r="AG24" s="4"/>
      <c r="AH24" s="4"/>
      <c r="AI24" s="4"/>
      <c r="AJ24" s="4"/>
      <c r="AK24" s="4"/>
    </row>
    <row r="25" ht="19.8" customHeight="1" spans="1:37">
      <c r="A25" s="13"/>
      <c r="B25" s="14"/>
      <c r="C25" s="20"/>
      <c r="D25" s="16">
        <f t="shared" ref="D25:D34" si="5">ROW()-3</f>
        <v>22</v>
      </c>
      <c r="E25" s="16" t="s">
        <v>76</v>
      </c>
      <c r="F25" s="16"/>
      <c r="G25" s="18">
        <v>0</v>
      </c>
      <c r="H25" s="18">
        <f t="shared" si="1"/>
        <v>0</v>
      </c>
      <c r="I25" s="16"/>
      <c r="J25" s="18">
        <v>0</v>
      </c>
      <c r="K25" s="18">
        <f t="shared" si="2"/>
        <v>0</v>
      </c>
      <c r="L25" s="18">
        <f t="shared" si="3"/>
        <v>0</v>
      </c>
      <c r="M25" s="16" t="s">
        <v>24</v>
      </c>
      <c r="N25" s="16"/>
      <c r="O25" s="16"/>
      <c r="P25" s="16"/>
      <c r="Q25" s="16"/>
      <c r="R25" s="16"/>
      <c r="S25" s="16"/>
      <c r="T25" s="16"/>
      <c r="U25" s="16"/>
      <c r="V25" s="26"/>
      <c r="W25" s="24"/>
      <c r="X25" s="4"/>
      <c r="Z25" s="4"/>
      <c r="AA25" s="4"/>
      <c r="AE25" s="4"/>
      <c r="AF25" s="4"/>
      <c r="AG25" s="4"/>
      <c r="AH25" s="4"/>
      <c r="AI25" s="4"/>
      <c r="AJ25" s="4"/>
      <c r="AK25" s="4"/>
    </row>
    <row r="26" ht="19.8" customHeight="1" spans="1:35">
      <c r="A26" s="13"/>
      <c r="B26" s="14"/>
      <c r="C26" s="20"/>
      <c r="D26" s="16">
        <f t="shared" si="5"/>
        <v>23</v>
      </c>
      <c r="E26" s="16" t="s">
        <v>77</v>
      </c>
      <c r="F26" s="16"/>
      <c r="G26" s="18">
        <v>0</v>
      </c>
      <c r="H26" s="18">
        <f t="shared" si="1"/>
        <v>0</v>
      </c>
      <c r="I26" s="16"/>
      <c r="J26" s="18">
        <v>0</v>
      </c>
      <c r="K26" s="18">
        <f t="shared" si="2"/>
        <v>0</v>
      </c>
      <c r="L26" s="18">
        <f t="shared" si="3"/>
        <v>0</v>
      </c>
      <c r="M26" s="16" t="s">
        <v>24</v>
      </c>
      <c r="N26" s="16"/>
      <c r="O26" s="16"/>
      <c r="P26" s="16"/>
      <c r="Q26" s="16"/>
      <c r="R26" s="16"/>
      <c r="S26" s="16"/>
      <c r="T26" s="16"/>
      <c r="U26" s="16"/>
      <c r="V26" s="26"/>
      <c r="W26" s="24"/>
      <c r="Y26" s="27"/>
      <c r="AE26" s="4"/>
      <c r="AF26" s="4"/>
      <c r="AG26" s="4"/>
      <c r="AH26" s="4"/>
      <c r="AI26" s="4"/>
    </row>
    <row r="27" ht="19.8" customHeight="1" spans="1:35">
      <c r="A27" s="13"/>
      <c r="B27" s="14"/>
      <c r="C27" s="20" t="s">
        <v>78</v>
      </c>
      <c r="D27" s="16">
        <f t="shared" si="5"/>
        <v>24</v>
      </c>
      <c r="E27" s="16" t="s">
        <v>79</v>
      </c>
      <c r="F27" s="16"/>
      <c r="G27" s="18">
        <v>0</v>
      </c>
      <c r="H27" s="18">
        <f t="shared" si="1"/>
        <v>0</v>
      </c>
      <c r="I27" s="16"/>
      <c r="J27" s="18">
        <v>0</v>
      </c>
      <c r="K27" s="18">
        <f t="shared" si="2"/>
        <v>0</v>
      </c>
      <c r="L27" s="18">
        <f t="shared" si="3"/>
        <v>0</v>
      </c>
      <c r="M27" s="16" t="s">
        <v>24</v>
      </c>
      <c r="N27" s="16"/>
      <c r="O27" s="16"/>
      <c r="P27" s="16"/>
      <c r="Q27" s="16"/>
      <c r="R27" s="16"/>
      <c r="S27" s="16"/>
      <c r="T27" s="16"/>
      <c r="U27" s="16"/>
      <c r="V27" s="26" t="s">
        <v>219</v>
      </c>
      <c r="W27" s="24"/>
      <c r="AE27" s="4"/>
      <c r="AF27" s="4"/>
      <c r="AG27" s="4"/>
      <c r="AH27" s="4"/>
      <c r="AI27" s="4"/>
    </row>
    <row r="28" ht="19.8" customHeight="1" spans="1:35">
      <c r="A28" s="13"/>
      <c r="B28" s="14"/>
      <c r="C28" s="20"/>
      <c r="D28" s="16">
        <f t="shared" si="5"/>
        <v>25</v>
      </c>
      <c r="E28" s="16" t="s">
        <v>81</v>
      </c>
      <c r="F28" s="16"/>
      <c r="G28" s="18">
        <v>0</v>
      </c>
      <c r="H28" s="18">
        <f t="shared" si="1"/>
        <v>0</v>
      </c>
      <c r="I28" s="16"/>
      <c r="J28" s="18">
        <v>0</v>
      </c>
      <c r="K28" s="18">
        <f t="shared" si="2"/>
        <v>0</v>
      </c>
      <c r="L28" s="18">
        <f t="shared" si="3"/>
        <v>0</v>
      </c>
      <c r="M28" s="16" t="s">
        <v>24</v>
      </c>
      <c r="N28" s="16"/>
      <c r="O28" s="16"/>
      <c r="P28" s="16"/>
      <c r="Q28" s="16"/>
      <c r="R28" s="16"/>
      <c r="S28" s="16"/>
      <c r="T28" s="16"/>
      <c r="U28" s="16"/>
      <c r="V28" s="26"/>
      <c r="W28" s="24"/>
      <c r="AE28" s="4"/>
      <c r="AF28" s="4"/>
      <c r="AG28" s="4"/>
      <c r="AH28" s="4"/>
      <c r="AI28" s="4"/>
    </row>
    <row r="29" ht="19.8" customHeight="1" spans="1:35">
      <c r="A29" s="13"/>
      <c r="B29" s="14"/>
      <c r="C29" s="20"/>
      <c r="D29" s="16">
        <f t="shared" si="5"/>
        <v>26</v>
      </c>
      <c r="E29" s="16" t="s">
        <v>82</v>
      </c>
      <c r="F29" s="16"/>
      <c r="G29" s="18">
        <v>0</v>
      </c>
      <c r="H29" s="18">
        <f t="shared" si="1"/>
        <v>0</v>
      </c>
      <c r="I29" s="16"/>
      <c r="J29" s="18">
        <v>0</v>
      </c>
      <c r="K29" s="18">
        <f t="shared" si="2"/>
        <v>0</v>
      </c>
      <c r="L29" s="18">
        <f t="shared" si="3"/>
        <v>0</v>
      </c>
      <c r="M29" s="16" t="s">
        <v>24</v>
      </c>
      <c r="N29" s="16"/>
      <c r="O29" s="16"/>
      <c r="P29" s="16"/>
      <c r="Q29" s="16"/>
      <c r="R29" s="16"/>
      <c r="S29" s="16"/>
      <c r="T29" s="16"/>
      <c r="U29" s="16"/>
      <c r="V29" s="26"/>
      <c r="W29" s="24"/>
      <c r="AE29" s="4"/>
      <c r="AF29" s="4"/>
      <c r="AG29" s="4"/>
      <c r="AH29" s="4"/>
      <c r="AI29" s="4"/>
    </row>
    <row r="30" ht="19.8" customHeight="1" spans="1:35">
      <c r="A30" s="13"/>
      <c r="B30" s="14"/>
      <c r="C30" s="20"/>
      <c r="D30" s="16">
        <f t="shared" si="5"/>
        <v>27</v>
      </c>
      <c r="E30" s="16" t="s">
        <v>220</v>
      </c>
      <c r="F30" s="16"/>
      <c r="G30" s="18">
        <v>0</v>
      </c>
      <c r="H30" s="18">
        <f t="shared" si="1"/>
        <v>0</v>
      </c>
      <c r="I30" s="16"/>
      <c r="J30" s="18">
        <v>0</v>
      </c>
      <c r="K30" s="18">
        <f t="shared" si="2"/>
        <v>0</v>
      </c>
      <c r="L30" s="18">
        <f t="shared" si="3"/>
        <v>0</v>
      </c>
      <c r="M30" s="16" t="s">
        <v>24</v>
      </c>
      <c r="N30" s="16"/>
      <c r="O30" s="16"/>
      <c r="P30" s="16"/>
      <c r="Q30" s="16"/>
      <c r="R30" s="16"/>
      <c r="S30" s="16"/>
      <c r="T30" s="16"/>
      <c r="U30" s="16"/>
      <c r="V30" s="26"/>
      <c r="W30" s="24"/>
      <c r="AE30" s="4"/>
      <c r="AF30" s="4"/>
      <c r="AG30" s="4"/>
      <c r="AH30" s="4"/>
      <c r="AI30" s="4"/>
    </row>
    <row r="31" ht="19.8" customHeight="1" spans="1:35">
      <c r="A31" s="13"/>
      <c r="B31" s="14"/>
      <c r="C31" s="20" t="s">
        <v>84</v>
      </c>
      <c r="D31" s="16">
        <f t="shared" si="5"/>
        <v>28</v>
      </c>
      <c r="E31" s="16" t="s">
        <v>85</v>
      </c>
      <c r="F31" s="16"/>
      <c r="G31" s="18">
        <v>0</v>
      </c>
      <c r="H31" s="18">
        <f t="shared" si="1"/>
        <v>0</v>
      </c>
      <c r="I31" s="16"/>
      <c r="J31" s="18">
        <v>0</v>
      </c>
      <c r="K31" s="18">
        <f t="shared" si="2"/>
        <v>0</v>
      </c>
      <c r="L31" s="18">
        <f t="shared" si="3"/>
        <v>0</v>
      </c>
      <c r="M31" s="16" t="s">
        <v>24</v>
      </c>
      <c r="N31" s="16"/>
      <c r="O31" s="16"/>
      <c r="P31" s="16"/>
      <c r="Q31" s="16"/>
      <c r="R31" s="16"/>
      <c r="S31" s="16"/>
      <c r="T31" s="16"/>
      <c r="U31" s="16"/>
      <c r="V31" s="26" t="s">
        <v>67</v>
      </c>
      <c r="W31" s="24"/>
      <c r="AE31" s="4"/>
      <c r="AF31" s="4"/>
      <c r="AG31" s="4"/>
      <c r="AH31" s="4"/>
      <c r="AI31" s="4"/>
    </row>
    <row r="32" ht="19.8" customHeight="1" spans="1:23">
      <c r="A32" s="13"/>
      <c r="B32" s="14"/>
      <c r="C32" s="20"/>
      <c r="D32" s="16">
        <f t="shared" si="5"/>
        <v>29</v>
      </c>
      <c r="E32" s="16" t="s">
        <v>86</v>
      </c>
      <c r="F32" s="16"/>
      <c r="G32" s="18">
        <v>0</v>
      </c>
      <c r="H32" s="18">
        <f t="shared" si="1"/>
        <v>0</v>
      </c>
      <c r="I32" s="16"/>
      <c r="J32" s="18">
        <v>0</v>
      </c>
      <c r="K32" s="18">
        <f t="shared" si="2"/>
        <v>0</v>
      </c>
      <c r="L32" s="18">
        <f t="shared" si="3"/>
        <v>0</v>
      </c>
      <c r="M32" s="16" t="s">
        <v>24</v>
      </c>
      <c r="N32" s="16"/>
      <c r="O32" s="16"/>
      <c r="P32" s="16"/>
      <c r="Q32" s="16"/>
      <c r="R32" s="16"/>
      <c r="S32" s="16"/>
      <c r="T32" s="16"/>
      <c r="U32" s="16"/>
      <c r="V32" s="26"/>
      <c r="W32" s="24"/>
    </row>
    <row r="33" ht="19.8" customHeight="1" spans="1:23">
      <c r="A33" s="13"/>
      <c r="B33" s="14"/>
      <c r="C33" s="20"/>
      <c r="D33" s="16">
        <f t="shared" si="5"/>
        <v>30</v>
      </c>
      <c r="E33" s="16" t="s">
        <v>87</v>
      </c>
      <c r="F33" s="16"/>
      <c r="G33" s="18">
        <v>0</v>
      </c>
      <c r="H33" s="18">
        <f t="shared" si="1"/>
        <v>0</v>
      </c>
      <c r="I33" s="16"/>
      <c r="J33" s="18">
        <v>0</v>
      </c>
      <c r="K33" s="18">
        <f t="shared" si="2"/>
        <v>0</v>
      </c>
      <c r="L33" s="18">
        <f t="shared" si="3"/>
        <v>0</v>
      </c>
      <c r="M33" s="16" t="s">
        <v>24</v>
      </c>
      <c r="N33" s="16"/>
      <c r="O33" s="16"/>
      <c r="P33" s="16"/>
      <c r="Q33" s="16"/>
      <c r="R33" s="16"/>
      <c r="S33" s="16"/>
      <c r="T33" s="16"/>
      <c r="U33" s="16"/>
      <c r="V33" s="26"/>
      <c r="W33" s="24"/>
    </row>
    <row r="34" ht="19.8" customHeight="1" spans="1:23">
      <c r="A34" s="13"/>
      <c r="B34" s="14"/>
      <c r="C34" s="20" t="s">
        <v>88</v>
      </c>
      <c r="D34" s="16">
        <f t="shared" si="5"/>
        <v>31</v>
      </c>
      <c r="E34" s="16" t="s">
        <v>89</v>
      </c>
      <c r="F34" s="16"/>
      <c r="G34" s="18">
        <v>0</v>
      </c>
      <c r="H34" s="18">
        <f t="shared" si="1"/>
        <v>0</v>
      </c>
      <c r="I34" s="16"/>
      <c r="J34" s="18">
        <v>0</v>
      </c>
      <c r="K34" s="18">
        <f t="shared" si="2"/>
        <v>0</v>
      </c>
      <c r="L34" s="18">
        <f t="shared" si="3"/>
        <v>0</v>
      </c>
      <c r="M34" s="16" t="s">
        <v>24</v>
      </c>
      <c r="N34" s="16"/>
      <c r="O34" s="16"/>
      <c r="P34" s="16"/>
      <c r="Q34" s="16"/>
      <c r="R34" s="16"/>
      <c r="S34" s="16"/>
      <c r="T34" s="16"/>
      <c r="U34" s="16"/>
      <c r="V34" s="26" t="s">
        <v>90</v>
      </c>
      <c r="W34" s="24"/>
    </row>
    <row r="35" ht="19.8" customHeight="1" spans="1:23">
      <c r="A35" s="13"/>
      <c r="B35" s="14"/>
      <c r="C35" s="20"/>
      <c r="D35" s="16">
        <f t="shared" ref="D35:D44" si="6">ROW()-3</f>
        <v>32</v>
      </c>
      <c r="E35" s="16" t="s">
        <v>221</v>
      </c>
      <c r="F35" s="16"/>
      <c r="G35" s="18">
        <v>0</v>
      </c>
      <c r="H35" s="18">
        <f t="shared" si="1"/>
        <v>0</v>
      </c>
      <c r="I35" s="16"/>
      <c r="J35" s="18">
        <v>0</v>
      </c>
      <c r="K35" s="18">
        <f t="shared" si="2"/>
        <v>0</v>
      </c>
      <c r="L35" s="18">
        <f t="shared" si="3"/>
        <v>0</v>
      </c>
      <c r="M35" s="16" t="s">
        <v>24</v>
      </c>
      <c r="N35" s="16"/>
      <c r="O35" s="16"/>
      <c r="P35" s="16"/>
      <c r="Q35" s="16"/>
      <c r="R35" s="16"/>
      <c r="S35" s="16"/>
      <c r="T35" s="16"/>
      <c r="U35" s="16"/>
      <c r="V35" s="26"/>
      <c r="W35" s="24"/>
    </row>
    <row r="36" ht="19.8" customHeight="1" spans="1:23">
      <c r="A36" s="13"/>
      <c r="B36" s="14"/>
      <c r="C36" s="20" t="s">
        <v>65</v>
      </c>
      <c r="D36" s="16">
        <f t="shared" si="6"/>
        <v>33</v>
      </c>
      <c r="E36" s="16" t="s">
        <v>93</v>
      </c>
      <c r="F36" s="16"/>
      <c r="G36" s="18">
        <v>0</v>
      </c>
      <c r="H36" s="18">
        <f t="shared" si="1"/>
        <v>0</v>
      </c>
      <c r="I36" s="16"/>
      <c r="J36" s="18">
        <v>0</v>
      </c>
      <c r="K36" s="18">
        <f t="shared" si="2"/>
        <v>0</v>
      </c>
      <c r="L36" s="18">
        <f t="shared" si="3"/>
        <v>0</v>
      </c>
      <c r="M36" s="16" t="s">
        <v>24</v>
      </c>
      <c r="N36" s="16"/>
      <c r="O36" s="16"/>
      <c r="P36" s="16"/>
      <c r="Q36" s="16"/>
      <c r="R36" s="16"/>
      <c r="S36" s="16"/>
      <c r="T36" s="16"/>
      <c r="U36" s="16"/>
      <c r="V36" s="26" t="s">
        <v>67</v>
      </c>
      <c r="W36" s="24"/>
    </row>
    <row r="37" ht="19.8" customHeight="1" spans="1:23">
      <c r="A37" s="13"/>
      <c r="B37" s="14"/>
      <c r="C37" s="20" t="s">
        <v>94</v>
      </c>
      <c r="D37" s="16">
        <f t="shared" si="6"/>
        <v>34</v>
      </c>
      <c r="E37" s="16" t="s">
        <v>95</v>
      </c>
      <c r="F37" s="16"/>
      <c r="G37" s="18">
        <v>0</v>
      </c>
      <c r="H37" s="18">
        <f t="shared" ref="H37:H68" si="7">F37*G37</f>
        <v>0</v>
      </c>
      <c r="I37" s="16"/>
      <c r="J37" s="18">
        <v>0</v>
      </c>
      <c r="K37" s="18">
        <f t="shared" ref="K37:K68" si="8">I37*J37</f>
        <v>0</v>
      </c>
      <c r="L37" s="18">
        <f t="shared" ref="L37:L68" si="9">H37-K37</f>
        <v>0</v>
      </c>
      <c r="M37" s="16" t="s">
        <v>24</v>
      </c>
      <c r="N37" s="16"/>
      <c r="O37" s="16"/>
      <c r="P37" s="16"/>
      <c r="Q37" s="16"/>
      <c r="R37" s="16"/>
      <c r="S37" s="16"/>
      <c r="T37" s="16"/>
      <c r="U37" s="16"/>
      <c r="V37" s="26" t="s">
        <v>96</v>
      </c>
      <c r="W37" s="24"/>
    </row>
    <row r="38" ht="19.8" customHeight="1" spans="1:23">
      <c r="A38" s="13"/>
      <c r="B38" s="14"/>
      <c r="C38" s="20" t="s">
        <v>97</v>
      </c>
      <c r="D38" s="16">
        <f t="shared" si="6"/>
        <v>35</v>
      </c>
      <c r="E38" s="16" t="s">
        <v>98</v>
      </c>
      <c r="F38" s="16"/>
      <c r="G38" s="18">
        <v>0</v>
      </c>
      <c r="H38" s="18">
        <f t="shared" si="7"/>
        <v>0</v>
      </c>
      <c r="I38" s="16"/>
      <c r="J38" s="18">
        <v>0</v>
      </c>
      <c r="K38" s="18">
        <f t="shared" si="8"/>
        <v>0</v>
      </c>
      <c r="L38" s="18">
        <f t="shared" si="9"/>
        <v>0</v>
      </c>
      <c r="M38" s="16" t="s">
        <v>24</v>
      </c>
      <c r="N38" s="16"/>
      <c r="O38" s="16"/>
      <c r="P38" s="16"/>
      <c r="Q38" s="16"/>
      <c r="R38" s="16"/>
      <c r="S38" s="16"/>
      <c r="T38" s="16"/>
      <c r="U38" s="16"/>
      <c r="V38" s="26" t="s">
        <v>99</v>
      </c>
      <c r="W38" s="24"/>
    </row>
    <row r="39" ht="19.8" customHeight="1" spans="1:23">
      <c r="A39" s="13"/>
      <c r="B39" s="14"/>
      <c r="C39" s="20"/>
      <c r="D39" s="16">
        <f t="shared" si="6"/>
        <v>36</v>
      </c>
      <c r="E39" s="16" t="s">
        <v>100</v>
      </c>
      <c r="F39" s="16"/>
      <c r="G39" s="18">
        <v>0</v>
      </c>
      <c r="H39" s="18">
        <f t="shared" si="7"/>
        <v>0</v>
      </c>
      <c r="I39" s="16"/>
      <c r="J39" s="18">
        <v>0</v>
      </c>
      <c r="K39" s="18">
        <f t="shared" si="8"/>
        <v>0</v>
      </c>
      <c r="L39" s="18">
        <f t="shared" si="9"/>
        <v>0</v>
      </c>
      <c r="M39" s="16" t="s">
        <v>24</v>
      </c>
      <c r="N39" s="16"/>
      <c r="O39" s="16"/>
      <c r="P39" s="16"/>
      <c r="Q39" s="16"/>
      <c r="R39" s="16"/>
      <c r="S39" s="16"/>
      <c r="T39" s="16"/>
      <c r="U39" s="16"/>
      <c r="V39" s="26"/>
      <c r="W39" s="24"/>
    </row>
    <row r="40" ht="19.8" customHeight="1" spans="1:23">
      <c r="A40" s="13"/>
      <c r="B40" s="14"/>
      <c r="C40" s="20"/>
      <c r="D40" s="16">
        <f t="shared" si="6"/>
        <v>37</v>
      </c>
      <c r="E40" s="16" t="s">
        <v>222</v>
      </c>
      <c r="F40" s="16"/>
      <c r="G40" s="18">
        <v>0</v>
      </c>
      <c r="H40" s="18">
        <f t="shared" si="7"/>
        <v>0</v>
      </c>
      <c r="I40" s="16"/>
      <c r="J40" s="18">
        <v>0</v>
      </c>
      <c r="K40" s="18">
        <f t="shared" si="8"/>
        <v>0</v>
      </c>
      <c r="L40" s="18">
        <f t="shared" si="9"/>
        <v>0</v>
      </c>
      <c r="M40" s="16" t="s">
        <v>24</v>
      </c>
      <c r="N40" s="16"/>
      <c r="O40" s="16"/>
      <c r="P40" s="16"/>
      <c r="Q40" s="16"/>
      <c r="R40" s="16"/>
      <c r="S40" s="16"/>
      <c r="T40" s="16"/>
      <c r="U40" s="16"/>
      <c r="V40" s="26"/>
      <c r="W40" s="24"/>
    </row>
    <row r="41" ht="19.8" customHeight="1" spans="1:23">
      <c r="A41" s="13"/>
      <c r="B41" s="14"/>
      <c r="C41" s="20" t="s">
        <v>102</v>
      </c>
      <c r="D41" s="16">
        <f t="shared" si="6"/>
        <v>38</v>
      </c>
      <c r="E41" s="16" t="s">
        <v>103</v>
      </c>
      <c r="F41" s="16"/>
      <c r="G41" s="18">
        <v>0</v>
      </c>
      <c r="H41" s="18">
        <f t="shared" si="7"/>
        <v>0</v>
      </c>
      <c r="I41" s="16"/>
      <c r="J41" s="18">
        <v>0</v>
      </c>
      <c r="K41" s="18">
        <f t="shared" si="8"/>
        <v>0</v>
      </c>
      <c r="L41" s="18">
        <f t="shared" si="9"/>
        <v>0</v>
      </c>
      <c r="M41" s="16" t="s">
        <v>24</v>
      </c>
      <c r="N41" s="16"/>
      <c r="O41" s="16"/>
      <c r="P41" s="16"/>
      <c r="Q41" s="16"/>
      <c r="R41" s="16"/>
      <c r="S41" s="16"/>
      <c r="T41" s="16"/>
      <c r="U41" s="16"/>
      <c r="V41" s="26"/>
      <c r="W41" s="24"/>
    </row>
    <row r="42" ht="19.8" customHeight="1" spans="1:23">
      <c r="A42" s="13"/>
      <c r="B42" s="14"/>
      <c r="C42" s="20"/>
      <c r="D42" s="16">
        <f t="shared" si="6"/>
        <v>39</v>
      </c>
      <c r="E42" s="16" t="s">
        <v>104</v>
      </c>
      <c r="F42" s="16"/>
      <c r="G42" s="18">
        <v>0</v>
      </c>
      <c r="H42" s="18">
        <f t="shared" si="7"/>
        <v>0</v>
      </c>
      <c r="I42" s="16"/>
      <c r="J42" s="18">
        <v>0</v>
      </c>
      <c r="K42" s="18">
        <f t="shared" si="8"/>
        <v>0</v>
      </c>
      <c r="L42" s="18">
        <f t="shared" si="9"/>
        <v>0</v>
      </c>
      <c r="M42" s="16" t="s">
        <v>24</v>
      </c>
      <c r="N42" s="16"/>
      <c r="O42" s="16"/>
      <c r="P42" s="16"/>
      <c r="Q42" s="16"/>
      <c r="R42" s="16"/>
      <c r="S42" s="16"/>
      <c r="T42" s="16"/>
      <c r="U42" s="16"/>
      <c r="V42" s="26"/>
      <c r="W42" s="24"/>
    </row>
    <row r="43" ht="19.8" customHeight="1" spans="1:23">
      <c r="A43" s="13"/>
      <c r="B43" s="14"/>
      <c r="C43" s="20"/>
      <c r="D43" s="16">
        <f t="shared" si="6"/>
        <v>40</v>
      </c>
      <c r="E43" s="16" t="s">
        <v>105</v>
      </c>
      <c r="F43" s="16"/>
      <c r="G43" s="18">
        <v>0</v>
      </c>
      <c r="H43" s="18">
        <f t="shared" si="7"/>
        <v>0</v>
      </c>
      <c r="I43" s="16"/>
      <c r="J43" s="18">
        <v>0</v>
      </c>
      <c r="K43" s="18">
        <f t="shared" si="8"/>
        <v>0</v>
      </c>
      <c r="L43" s="18">
        <f t="shared" si="9"/>
        <v>0</v>
      </c>
      <c r="M43" s="16" t="s">
        <v>24</v>
      </c>
      <c r="N43" s="16"/>
      <c r="O43" s="16"/>
      <c r="P43" s="16"/>
      <c r="Q43" s="16"/>
      <c r="R43" s="16"/>
      <c r="S43" s="16"/>
      <c r="T43" s="16"/>
      <c r="U43" s="16"/>
      <c r="V43" s="26"/>
      <c r="W43" s="24"/>
    </row>
    <row r="44" ht="19.8" customHeight="1" spans="1:23">
      <c r="A44" s="13"/>
      <c r="B44" s="14"/>
      <c r="C44" s="20"/>
      <c r="D44" s="16">
        <f t="shared" si="6"/>
        <v>41</v>
      </c>
      <c r="E44" s="16" t="s">
        <v>106</v>
      </c>
      <c r="F44" s="16"/>
      <c r="G44" s="18">
        <v>0</v>
      </c>
      <c r="H44" s="18">
        <f t="shared" si="7"/>
        <v>0</v>
      </c>
      <c r="I44" s="16"/>
      <c r="J44" s="18">
        <v>0</v>
      </c>
      <c r="K44" s="18">
        <f t="shared" si="8"/>
        <v>0</v>
      </c>
      <c r="L44" s="18">
        <f t="shared" si="9"/>
        <v>0</v>
      </c>
      <c r="M44" s="16" t="s">
        <v>24</v>
      </c>
      <c r="N44" s="16"/>
      <c r="O44" s="16"/>
      <c r="P44" s="16"/>
      <c r="Q44" s="16"/>
      <c r="R44" s="16"/>
      <c r="S44" s="16"/>
      <c r="T44" s="16"/>
      <c r="U44" s="16"/>
      <c r="V44" s="26" t="s">
        <v>107</v>
      </c>
      <c r="W44" s="24"/>
    </row>
    <row r="45" ht="19.8" customHeight="1" spans="1:23">
      <c r="A45" s="13"/>
      <c r="B45" s="14"/>
      <c r="C45" s="20" t="s">
        <v>108</v>
      </c>
      <c r="D45" s="16">
        <f t="shared" ref="D45:D54" si="10">ROW()-3</f>
        <v>42</v>
      </c>
      <c r="E45" s="16" t="s">
        <v>109</v>
      </c>
      <c r="F45" s="16"/>
      <c r="G45" s="18">
        <v>0</v>
      </c>
      <c r="H45" s="18">
        <f t="shared" si="7"/>
        <v>0</v>
      </c>
      <c r="I45" s="16"/>
      <c r="J45" s="18">
        <v>0</v>
      </c>
      <c r="K45" s="18">
        <f t="shared" si="8"/>
        <v>0</v>
      </c>
      <c r="L45" s="18">
        <f t="shared" si="9"/>
        <v>0</v>
      </c>
      <c r="M45" s="16" t="s">
        <v>24</v>
      </c>
      <c r="N45" s="16"/>
      <c r="O45" s="16"/>
      <c r="P45" s="16"/>
      <c r="Q45" s="16"/>
      <c r="R45" s="16"/>
      <c r="S45" s="16"/>
      <c r="T45" s="16"/>
      <c r="U45" s="16"/>
      <c r="V45" s="26" t="s">
        <v>110</v>
      </c>
      <c r="W45" s="24"/>
    </row>
    <row r="46" ht="19.8" customHeight="1" spans="1:23">
      <c r="A46" s="13"/>
      <c r="B46" s="14"/>
      <c r="C46" s="20"/>
      <c r="D46" s="16">
        <f t="shared" si="10"/>
        <v>43</v>
      </c>
      <c r="E46" s="16" t="s">
        <v>111</v>
      </c>
      <c r="F46" s="16"/>
      <c r="G46" s="18">
        <v>0</v>
      </c>
      <c r="H46" s="18">
        <f t="shared" si="7"/>
        <v>0</v>
      </c>
      <c r="I46" s="16"/>
      <c r="J46" s="18">
        <v>0</v>
      </c>
      <c r="K46" s="18">
        <f t="shared" si="8"/>
        <v>0</v>
      </c>
      <c r="L46" s="18">
        <f t="shared" si="9"/>
        <v>0</v>
      </c>
      <c r="M46" s="16" t="s">
        <v>24</v>
      </c>
      <c r="N46" s="16"/>
      <c r="O46" s="16"/>
      <c r="P46" s="16"/>
      <c r="Q46" s="16"/>
      <c r="R46" s="16"/>
      <c r="S46" s="16"/>
      <c r="T46" s="16"/>
      <c r="U46" s="16"/>
      <c r="V46" s="26"/>
      <c r="W46" s="24"/>
    </row>
    <row r="47" ht="19.8" customHeight="1" spans="1:23">
      <c r="A47" s="13"/>
      <c r="B47" s="14"/>
      <c r="C47" s="20"/>
      <c r="D47" s="16">
        <f t="shared" si="10"/>
        <v>44</v>
      </c>
      <c r="E47" s="16" t="s">
        <v>112</v>
      </c>
      <c r="F47" s="16"/>
      <c r="G47" s="18">
        <v>0</v>
      </c>
      <c r="H47" s="18">
        <f t="shared" si="7"/>
        <v>0</v>
      </c>
      <c r="I47" s="16"/>
      <c r="J47" s="18">
        <v>0</v>
      </c>
      <c r="K47" s="18">
        <f t="shared" si="8"/>
        <v>0</v>
      </c>
      <c r="L47" s="18">
        <f t="shared" si="9"/>
        <v>0</v>
      </c>
      <c r="M47" s="16" t="s">
        <v>24</v>
      </c>
      <c r="N47" s="16"/>
      <c r="O47" s="16"/>
      <c r="P47" s="16"/>
      <c r="Q47" s="16"/>
      <c r="R47" s="16"/>
      <c r="S47" s="16"/>
      <c r="T47" s="16"/>
      <c r="U47" s="16"/>
      <c r="V47" s="26"/>
      <c r="W47" s="24"/>
    </row>
    <row r="48" ht="19.8" customHeight="1" spans="1:23">
      <c r="A48" s="13"/>
      <c r="B48" s="14"/>
      <c r="C48" s="20"/>
      <c r="D48" s="16">
        <f t="shared" si="10"/>
        <v>45</v>
      </c>
      <c r="E48" s="16" t="s">
        <v>113</v>
      </c>
      <c r="F48" s="16"/>
      <c r="G48" s="18">
        <v>0</v>
      </c>
      <c r="H48" s="18">
        <f t="shared" si="7"/>
        <v>0</v>
      </c>
      <c r="I48" s="16"/>
      <c r="J48" s="18">
        <v>0</v>
      </c>
      <c r="K48" s="18">
        <f t="shared" si="8"/>
        <v>0</v>
      </c>
      <c r="L48" s="18">
        <f t="shared" si="9"/>
        <v>0</v>
      </c>
      <c r="M48" s="16" t="s">
        <v>24</v>
      </c>
      <c r="N48" s="16"/>
      <c r="O48" s="16"/>
      <c r="P48" s="16"/>
      <c r="Q48" s="16"/>
      <c r="R48" s="16"/>
      <c r="S48" s="16"/>
      <c r="T48" s="16"/>
      <c r="U48" s="16"/>
      <c r="V48" s="26"/>
      <c r="W48" s="24"/>
    </row>
    <row r="49" ht="19.8" customHeight="1" spans="1:23">
      <c r="A49" s="13"/>
      <c r="B49" s="14"/>
      <c r="C49" s="20" t="s">
        <v>114</v>
      </c>
      <c r="D49" s="16">
        <f t="shared" si="10"/>
        <v>46</v>
      </c>
      <c r="E49" s="16" t="s">
        <v>115</v>
      </c>
      <c r="F49" s="16"/>
      <c r="G49" s="18">
        <v>0</v>
      </c>
      <c r="H49" s="18">
        <f t="shared" si="7"/>
        <v>0</v>
      </c>
      <c r="I49" s="16"/>
      <c r="J49" s="18">
        <v>0</v>
      </c>
      <c r="K49" s="18">
        <f t="shared" si="8"/>
        <v>0</v>
      </c>
      <c r="L49" s="18">
        <f t="shared" si="9"/>
        <v>0</v>
      </c>
      <c r="M49" s="16" t="s">
        <v>24</v>
      </c>
      <c r="N49" s="16"/>
      <c r="O49" s="16"/>
      <c r="P49" s="16"/>
      <c r="Q49" s="16"/>
      <c r="R49" s="16"/>
      <c r="S49" s="16"/>
      <c r="T49" s="16"/>
      <c r="U49" s="16"/>
      <c r="V49" s="26" t="s">
        <v>116</v>
      </c>
      <c r="W49" s="24"/>
    </row>
    <row r="50" ht="19.8" customHeight="1" spans="1:23">
      <c r="A50" s="13"/>
      <c r="B50" s="14" t="s">
        <v>117</v>
      </c>
      <c r="C50" s="20" t="s">
        <v>118</v>
      </c>
      <c r="D50" s="16">
        <f t="shared" si="10"/>
        <v>47</v>
      </c>
      <c r="E50" s="16" t="s">
        <v>119</v>
      </c>
      <c r="F50" s="16"/>
      <c r="G50" s="18">
        <v>0</v>
      </c>
      <c r="H50" s="18">
        <f t="shared" si="7"/>
        <v>0</v>
      </c>
      <c r="I50" s="16"/>
      <c r="J50" s="18">
        <v>0</v>
      </c>
      <c r="K50" s="18">
        <f t="shared" si="8"/>
        <v>0</v>
      </c>
      <c r="L50" s="18">
        <f t="shared" si="9"/>
        <v>0</v>
      </c>
      <c r="M50" s="16" t="s">
        <v>24</v>
      </c>
      <c r="N50" s="16"/>
      <c r="O50" s="16"/>
      <c r="P50" s="16"/>
      <c r="Q50" s="16"/>
      <c r="R50" s="16"/>
      <c r="S50" s="16"/>
      <c r="T50" s="16"/>
      <c r="U50" s="16"/>
      <c r="V50" s="26" t="s">
        <v>120</v>
      </c>
      <c r="W50" s="24"/>
    </row>
    <row r="51" ht="19.8" customHeight="1" spans="1:23">
      <c r="A51" s="13"/>
      <c r="B51" s="14"/>
      <c r="C51" s="20"/>
      <c r="D51" s="16">
        <f t="shared" si="10"/>
        <v>48</v>
      </c>
      <c r="E51" s="16" t="s">
        <v>121</v>
      </c>
      <c r="F51" s="16"/>
      <c r="G51" s="18">
        <v>0</v>
      </c>
      <c r="H51" s="18">
        <f t="shared" si="7"/>
        <v>0</v>
      </c>
      <c r="I51" s="16"/>
      <c r="J51" s="18">
        <v>0</v>
      </c>
      <c r="K51" s="18">
        <f t="shared" si="8"/>
        <v>0</v>
      </c>
      <c r="L51" s="18">
        <f t="shared" si="9"/>
        <v>0</v>
      </c>
      <c r="M51" s="16" t="s">
        <v>24</v>
      </c>
      <c r="N51" s="16"/>
      <c r="O51" s="16"/>
      <c r="P51" s="16"/>
      <c r="Q51" s="16"/>
      <c r="R51" s="16"/>
      <c r="S51" s="16"/>
      <c r="T51" s="16"/>
      <c r="U51" s="16"/>
      <c r="V51" s="26"/>
      <c r="W51" s="24"/>
    </row>
    <row r="52" ht="19.8" customHeight="1" spans="1:23">
      <c r="A52" s="13"/>
      <c r="B52" s="14"/>
      <c r="C52" s="20"/>
      <c r="D52" s="16">
        <f t="shared" si="10"/>
        <v>49</v>
      </c>
      <c r="E52" s="16" t="s">
        <v>122</v>
      </c>
      <c r="F52" s="16"/>
      <c r="G52" s="18">
        <v>0</v>
      </c>
      <c r="H52" s="18">
        <f t="shared" si="7"/>
        <v>0</v>
      </c>
      <c r="I52" s="16"/>
      <c r="J52" s="18">
        <v>0</v>
      </c>
      <c r="K52" s="18">
        <f t="shared" si="8"/>
        <v>0</v>
      </c>
      <c r="L52" s="18">
        <f t="shared" si="9"/>
        <v>0</v>
      </c>
      <c r="M52" s="16" t="s">
        <v>24</v>
      </c>
      <c r="N52" s="16"/>
      <c r="O52" s="16"/>
      <c r="P52" s="16"/>
      <c r="Q52" s="16"/>
      <c r="R52" s="16"/>
      <c r="S52" s="16"/>
      <c r="T52" s="16"/>
      <c r="U52" s="16"/>
      <c r="V52" s="26"/>
      <c r="W52" s="24"/>
    </row>
    <row r="53" ht="19.8" customHeight="1" spans="1:23">
      <c r="A53" s="13"/>
      <c r="B53" s="14"/>
      <c r="C53" s="20" t="s">
        <v>123</v>
      </c>
      <c r="D53" s="16">
        <f t="shared" si="10"/>
        <v>50</v>
      </c>
      <c r="E53" s="16" t="s">
        <v>124</v>
      </c>
      <c r="F53" s="16"/>
      <c r="G53" s="18">
        <v>0</v>
      </c>
      <c r="H53" s="18">
        <f t="shared" si="7"/>
        <v>0</v>
      </c>
      <c r="I53" s="16"/>
      <c r="J53" s="18">
        <v>0</v>
      </c>
      <c r="K53" s="18">
        <f t="shared" si="8"/>
        <v>0</v>
      </c>
      <c r="L53" s="18">
        <f t="shared" si="9"/>
        <v>0</v>
      </c>
      <c r="M53" s="16" t="s">
        <v>24</v>
      </c>
      <c r="N53" s="16"/>
      <c r="O53" s="16"/>
      <c r="P53" s="16"/>
      <c r="Q53" s="16"/>
      <c r="R53" s="16"/>
      <c r="S53" s="16"/>
      <c r="T53" s="16"/>
      <c r="U53" s="16"/>
      <c r="V53" s="26" t="s">
        <v>125</v>
      </c>
      <c r="W53" s="24"/>
    </row>
    <row r="54" ht="19.8" customHeight="1" spans="1:23">
      <c r="A54" s="13"/>
      <c r="B54" s="14"/>
      <c r="C54" s="20"/>
      <c r="D54" s="16">
        <f t="shared" si="10"/>
        <v>51</v>
      </c>
      <c r="E54" s="16" t="s">
        <v>126</v>
      </c>
      <c r="F54" s="16"/>
      <c r="G54" s="18">
        <v>0</v>
      </c>
      <c r="H54" s="18">
        <f t="shared" si="7"/>
        <v>0</v>
      </c>
      <c r="I54" s="16"/>
      <c r="J54" s="18">
        <v>0</v>
      </c>
      <c r="K54" s="18">
        <f t="shared" si="8"/>
        <v>0</v>
      </c>
      <c r="L54" s="18">
        <f t="shared" si="9"/>
        <v>0</v>
      </c>
      <c r="M54" s="16" t="s">
        <v>24</v>
      </c>
      <c r="N54" s="16"/>
      <c r="O54" s="16"/>
      <c r="P54" s="16"/>
      <c r="Q54" s="16"/>
      <c r="R54" s="16"/>
      <c r="S54" s="16"/>
      <c r="T54" s="16"/>
      <c r="U54" s="16"/>
      <c r="V54" s="26"/>
      <c r="W54" s="24"/>
    </row>
    <row r="55" ht="19.8" customHeight="1" spans="1:23">
      <c r="A55" s="13"/>
      <c r="B55" s="14"/>
      <c r="C55" s="20"/>
      <c r="D55" s="16">
        <f t="shared" ref="D55:D64" si="11">ROW()-3</f>
        <v>52</v>
      </c>
      <c r="E55" s="16" t="s">
        <v>127</v>
      </c>
      <c r="F55" s="16"/>
      <c r="G55" s="18">
        <v>0</v>
      </c>
      <c r="H55" s="18">
        <f t="shared" si="7"/>
        <v>0</v>
      </c>
      <c r="I55" s="16"/>
      <c r="J55" s="18">
        <v>0</v>
      </c>
      <c r="K55" s="18">
        <f t="shared" si="8"/>
        <v>0</v>
      </c>
      <c r="L55" s="18">
        <f t="shared" si="9"/>
        <v>0</v>
      </c>
      <c r="M55" s="16" t="s">
        <v>24</v>
      </c>
      <c r="N55" s="16"/>
      <c r="O55" s="16"/>
      <c r="P55" s="16"/>
      <c r="Q55" s="16"/>
      <c r="R55" s="16"/>
      <c r="S55" s="16"/>
      <c r="T55" s="16"/>
      <c r="U55" s="16"/>
      <c r="V55" s="26"/>
      <c r="W55" s="24"/>
    </row>
    <row r="56" ht="19.8" customHeight="1" spans="1:23">
      <c r="A56" s="13"/>
      <c r="B56" s="14"/>
      <c r="C56" s="20" t="s">
        <v>128</v>
      </c>
      <c r="D56" s="16">
        <f t="shared" si="11"/>
        <v>53</v>
      </c>
      <c r="E56" s="16" t="s">
        <v>129</v>
      </c>
      <c r="F56" s="16"/>
      <c r="G56" s="18">
        <v>0</v>
      </c>
      <c r="H56" s="18">
        <f t="shared" si="7"/>
        <v>0</v>
      </c>
      <c r="I56" s="16"/>
      <c r="J56" s="18">
        <v>0</v>
      </c>
      <c r="K56" s="18">
        <f t="shared" si="8"/>
        <v>0</v>
      </c>
      <c r="L56" s="18">
        <f t="shared" si="9"/>
        <v>0</v>
      </c>
      <c r="M56" s="16" t="s">
        <v>24</v>
      </c>
      <c r="N56" s="16"/>
      <c r="O56" s="16"/>
      <c r="P56" s="16"/>
      <c r="Q56" s="16"/>
      <c r="R56" s="16"/>
      <c r="S56" s="16"/>
      <c r="T56" s="16"/>
      <c r="U56" s="16"/>
      <c r="V56" s="26"/>
      <c r="W56" s="24"/>
    </row>
    <row r="57" ht="19.8" customHeight="1" spans="1:23">
      <c r="A57" s="13"/>
      <c r="B57" s="14"/>
      <c r="C57" s="20" t="s">
        <v>130</v>
      </c>
      <c r="D57" s="16">
        <f t="shared" si="11"/>
        <v>54</v>
      </c>
      <c r="E57" s="16" t="s">
        <v>131</v>
      </c>
      <c r="F57" s="16"/>
      <c r="G57" s="18">
        <v>0</v>
      </c>
      <c r="H57" s="18">
        <f t="shared" si="7"/>
        <v>0</v>
      </c>
      <c r="I57" s="16"/>
      <c r="J57" s="18">
        <v>0</v>
      </c>
      <c r="K57" s="18">
        <f t="shared" si="8"/>
        <v>0</v>
      </c>
      <c r="L57" s="18">
        <f t="shared" si="9"/>
        <v>0</v>
      </c>
      <c r="M57" s="16" t="s">
        <v>24</v>
      </c>
      <c r="N57" s="16"/>
      <c r="O57" s="16"/>
      <c r="P57" s="16"/>
      <c r="Q57" s="16"/>
      <c r="R57" s="16"/>
      <c r="S57" s="16"/>
      <c r="T57" s="16"/>
      <c r="U57" s="16"/>
      <c r="V57" s="26" t="s">
        <v>132</v>
      </c>
      <c r="W57" s="24"/>
    </row>
    <row r="58" ht="19.8" customHeight="1" spans="1:23">
      <c r="A58" s="13"/>
      <c r="B58" s="14"/>
      <c r="C58" s="20"/>
      <c r="D58" s="16">
        <f t="shared" si="11"/>
        <v>55</v>
      </c>
      <c r="E58" s="16" t="s">
        <v>133</v>
      </c>
      <c r="F58" s="16"/>
      <c r="G58" s="18">
        <v>0</v>
      </c>
      <c r="H58" s="18">
        <f t="shared" si="7"/>
        <v>0</v>
      </c>
      <c r="I58" s="16"/>
      <c r="J58" s="18">
        <v>0</v>
      </c>
      <c r="K58" s="18">
        <f t="shared" si="8"/>
        <v>0</v>
      </c>
      <c r="L58" s="18">
        <f t="shared" si="9"/>
        <v>0</v>
      </c>
      <c r="M58" s="16" t="s">
        <v>24</v>
      </c>
      <c r="N58" s="16"/>
      <c r="O58" s="16"/>
      <c r="P58" s="16"/>
      <c r="Q58" s="16"/>
      <c r="R58" s="16"/>
      <c r="S58" s="16"/>
      <c r="T58" s="16"/>
      <c r="U58" s="16"/>
      <c r="V58" s="26"/>
      <c r="W58" s="24"/>
    </row>
    <row r="59" ht="19.8" customHeight="1" spans="1:23">
      <c r="A59" s="13"/>
      <c r="B59" s="14"/>
      <c r="C59" s="20" t="s">
        <v>134</v>
      </c>
      <c r="D59" s="16">
        <f t="shared" si="11"/>
        <v>56</v>
      </c>
      <c r="E59" s="16" t="s">
        <v>135</v>
      </c>
      <c r="F59" s="16"/>
      <c r="G59" s="18">
        <v>0</v>
      </c>
      <c r="H59" s="18">
        <f t="shared" si="7"/>
        <v>0</v>
      </c>
      <c r="I59" s="16"/>
      <c r="J59" s="18">
        <v>0</v>
      </c>
      <c r="K59" s="18">
        <f t="shared" si="8"/>
        <v>0</v>
      </c>
      <c r="L59" s="18">
        <f t="shared" si="9"/>
        <v>0</v>
      </c>
      <c r="M59" s="16" t="s">
        <v>24</v>
      </c>
      <c r="N59" s="16"/>
      <c r="O59" s="16"/>
      <c r="P59" s="16"/>
      <c r="Q59" s="16"/>
      <c r="R59" s="16"/>
      <c r="S59" s="16"/>
      <c r="T59" s="16"/>
      <c r="U59" s="16"/>
      <c r="V59" s="26"/>
      <c r="W59" s="24"/>
    </row>
    <row r="60" ht="19.8" customHeight="1" spans="1:23">
      <c r="A60" s="13"/>
      <c r="B60" s="14" t="s">
        <v>136</v>
      </c>
      <c r="C60" s="20" t="s">
        <v>137</v>
      </c>
      <c r="D60" s="16">
        <f t="shared" si="11"/>
        <v>57</v>
      </c>
      <c r="E60" s="16" t="s">
        <v>138</v>
      </c>
      <c r="F60" s="16"/>
      <c r="G60" s="18">
        <v>0</v>
      </c>
      <c r="H60" s="18">
        <f t="shared" si="7"/>
        <v>0</v>
      </c>
      <c r="I60" s="16"/>
      <c r="J60" s="18">
        <v>0</v>
      </c>
      <c r="K60" s="18">
        <f t="shared" si="8"/>
        <v>0</v>
      </c>
      <c r="L60" s="18">
        <f t="shared" si="9"/>
        <v>0</v>
      </c>
      <c r="M60" s="16" t="s">
        <v>24</v>
      </c>
      <c r="N60" s="16"/>
      <c r="O60" s="16"/>
      <c r="P60" s="16"/>
      <c r="Q60" s="16"/>
      <c r="R60" s="16"/>
      <c r="S60" s="16"/>
      <c r="T60" s="16"/>
      <c r="U60" s="16"/>
      <c r="V60" s="26" t="s">
        <v>120</v>
      </c>
      <c r="W60" s="24"/>
    </row>
    <row r="61" ht="19.8" customHeight="1" spans="1:23">
      <c r="A61" s="13"/>
      <c r="B61" s="14"/>
      <c r="C61" s="20"/>
      <c r="D61" s="16">
        <f t="shared" si="11"/>
        <v>58</v>
      </c>
      <c r="E61" s="16" t="s">
        <v>139</v>
      </c>
      <c r="F61" s="16"/>
      <c r="G61" s="18">
        <v>0</v>
      </c>
      <c r="H61" s="18">
        <f t="shared" si="7"/>
        <v>0</v>
      </c>
      <c r="I61" s="16"/>
      <c r="J61" s="18">
        <v>0</v>
      </c>
      <c r="K61" s="18">
        <f t="shared" si="8"/>
        <v>0</v>
      </c>
      <c r="L61" s="18">
        <f t="shared" si="9"/>
        <v>0</v>
      </c>
      <c r="M61" s="16" t="s">
        <v>24</v>
      </c>
      <c r="N61" s="16"/>
      <c r="O61" s="16"/>
      <c r="P61" s="16"/>
      <c r="Q61" s="16"/>
      <c r="R61" s="16"/>
      <c r="S61" s="16"/>
      <c r="T61" s="16"/>
      <c r="U61" s="16"/>
      <c r="V61" s="26"/>
      <c r="W61" s="24"/>
    </row>
    <row r="62" ht="19.8" customHeight="1" spans="1:23">
      <c r="A62" s="13"/>
      <c r="B62" s="14"/>
      <c r="C62" s="20"/>
      <c r="D62" s="16">
        <f t="shared" si="11"/>
        <v>59</v>
      </c>
      <c r="E62" s="16" t="s">
        <v>140</v>
      </c>
      <c r="F62" s="16"/>
      <c r="G62" s="18">
        <v>0</v>
      </c>
      <c r="H62" s="18">
        <f t="shared" si="7"/>
        <v>0</v>
      </c>
      <c r="I62" s="16"/>
      <c r="J62" s="18">
        <v>0</v>
      </c>
      <c r="K62" s="18">
        <f t="shared" si="8"/>
        <v>0</v>
      </c>
      <c r="L62" s="18">
        <f t="shared" si="9"/>
        <v>0</v>
      </c>
      <c r="M62" s="16" t="s">
        <v>24</v>
      </c>
      <c r="N62" s="16"/>
      <c r="O62" s="16"/>
      <c r="P62" s="16"/>
      <c r="Q62" s="16"/>
      <c r="R62" s="16"/>
      <c r="S62" s="16"/>
      <c r="T62" s="16"/>
      <c r="U62" s="16"/>
      <c r="V62" s="26"/>
      <c r="W62" s="24"/>
    </row>
    <row r="63" ht="19.8" customHeight="1" spans="1:23">
      <c r="A63" s="13"/>
      <c r="B63" s="14"/>
      <c r="C63" s="20" t="s">
        <v>134</v>
      </c>
      <c r="D63" s="16">
        <f t="shared" si="11"/>
        <v>60</v>
      </c>
      <c r="E63" s="16" t="s">
        <v>141</v>
      </c>
      <c r="F63" s="16"/>
      <c r="G63" s="18">
        <v>0</v>
      </c>
      <c r="H63" s="18">
        <f t="shared" si="7"/>
        <v>0</v>
      </c>
      <c r="I63" s="16"/>
      <c r="J63" s="18">
        <v>0</v>
      </c>
      <c r="K63" s="18">
        <f t="shared" si="8"/>
        <v>0</v>
      </c>
      <c r="L63" s="18">
        <f t="shared" si="9"/>
        <v>0</v>
      </c>
      <c r="M63" s="16" t="s">
        <v>24</v>
      </c>
      <c r="N63" s="16"/>
      <c r="O63" s="16"/>
      <c r="P63" s="16"/>
      <c r="Q63" s="16"/>
      <c r="R63" s="16"/>
      <c r="S63" s="16"/>
      <c r="T63" s="16"/>
      <c r="U63" s="16"/>
      <c r="V63" s="26"/>
      <c r="W63" s="24"/>
    </row>
    <row r="64" ht="19.8" customHeight="1" spans="1:23">
      <c r="A64" s="13"/>
      <c r="B64" s="14"/>
      <c r="C64" s="20"/>
      <c r="D64" s="16">
        <f t="shared" si="11"/>
        <v>61</v>
      </c>
      <c r="E64" s="16" t="s">
        <v>142</v>
      </c>
      <c r="F64" s="16"/>
      <c r="G64" s="18">
        <v>0</v>
      </c>
      <c r="H64" s="18">
        <f t="shared" si="7"/>
        <v>0</v>
      </c>
      <c r="I64" s="16"/>
      <c r="J64" s="18">
        <v>0</v>
      </c>
      <c r="K64" s="18">
        <f t="shared" si="8"/>
        <v>0</v>
      </c>
      <c r="L64" s="18">
        <f t="shared" si="9"/>
        <v>0</v>
      </c>
      <c r="M64" s="16" t="s">
        <v>24</v>
      </c>
      <c r="N64" s="16"/>
      <c r="O64" s="16"/>
      <c r="P64" s="16"/>
      <c r="Q64" s="16"/>
      <c r="R64" s="16"/>
      <c r="S64" s="16"/>
      <c r="T64" s="16"/>
      <c r="U64" s="16"/>
      <c r="V64" s="26"/>
      <c r="W64" s="24"/>
    </row>
    <row r="65" ht="19.8" customHeight="1" spans="1:23">
      <c r="A65" s="13"/>
      <c r="B65" s="14"/>
      <c r="C65" s="20"/>
      <c r="D65" s="16">
        <f t="shared" ref="D65:D74" si="12">ROW()-3</f>
        <v>62</v>
      </c>
      <c r="E65" s="16" t="s">
        <v>143</v>
      </c>
      <c r="F65" s="16"/>
      <c r="G65" s="18">
        <v>0</v>
      </c>
      <c r="H65" s="18">
        <f t="shared" si="7"/>
        <v>0</v>
      </c>
      <c r="I65" s="16"/>
      <c r="J65" s="18">
        <v>0</v>
      </c>
      <c r="K65" s="18">
        <f t="shared" si="8"/>
        <v>0</v>
      </c>
      <c r="L65" s="18">
        <f t="shared" si="9"/>
        <v>0</v>
      </c>
      <c r="M65" s="16" t="s">
        <v>24</v>
      </c>
      <c r="N65" s="16"/>
      <c r="O65" s="16"/>
      <c r="P65" s="16"/>
      <c r="Q65" s="16"/>
      <c r="R65" s="16"/>
      <c r="S65" s="16"/>
      <c r="T65" s="16"/>
      <c r="U65" s="16"/>
      <c r="V65" s="26"/>
      <c r="W65" s="24"/>
    </row>
    <row r="66" ht="19.8" customHeight="1" spans="1:23">
      <c r="A66" s="13"/>
      <c r="B66" s="14" t="s">
        <v>144</v>
      </c>
      <c r="C66" s="20" t="s">
        <v>145</v>
      </c>
      <c r="D66" s="16">
        <f t="shared" si="12"/>
        <v>63</v>
      </c>
      <c r="E66" s="16" t="s">
        <v>146</v>
      </c>
      <c r="F66" s="16"/>
      <c r="G66" s="18">
        <v>0</v>
      </c>
      <c r="H66" s="18">
        <f t="shared" si="7"/>
        <v>0</v>
      </c>
      <c r="I66" s="16"/>
      <c r="J66" s="18">
        <v>0</v>
      </c>
      <c r="K66" s="18">
        <f t="shared" si="8"/>
        <v>0</v>
      </c>
      <c r="L66" s="18">
        <f t="shared" si="9"/>
        <v>0</v>
      </c>
      <c r="M66" s="16" t="s">
        <v>24</v>
      </c>
      <c r="N66" s="16"/>
      <c r="O66" s="16"/>
      <c r="P66" s="16"/>
      <c r="Q66" s="16"/>
      <c r="R66" s="16"/>
      <c r="S66" s="16"/>
      <c r="T66" s="16"/>
      <c r="U66" s="16"/>
      <c r="V66" s="26" t="s">
        <v>67</v>
      </c>
      <c r="W66" s="24"/>
    </row>
    <row r="67" ht="19.8" customHeight="1" spans="1:23">
      <c r="A67" s="13"/>
      <c r="B67" s="14"/>
      <c r="C67" s="20"/>
      <c r="D67" s="16">
        <f t="shared" si="12"/>
        <v>64</v>
      </c>
      <c r="E67" s="16" t="s">
        <v>147</v>
      </c>
      <c r="F67" s="16"/>
      <c r="G67" s="18">
        <v>0</v>
      </c>
      <c r="H67" s="18">
        <f t="shared" si="7"/>
        <v>0</v>
      </c>
      <c r="I67" s="16"/>
      <c r="J67" s="18">
        <v>0</v>
      </c>
      <c r="K67" s="18">
        <f t="shared" si="8"/>
        <v>0</v>
      </c>
      <c r="L67" s="18">
        <f t="shared" si="9"/>
        <v>0</v>
      </c>
      <c r="M67" s="16" t="s">
        <v>24</v>
      </c>
      <c r="N67" s="16"/>
      <c r="O67" s="16"/>
      <c r="P67" s="16"/>
      <c r="Q67" s="16"/>
      <c r="R67" s="16"/>
      <c r="S67" s="16"/>
      <c r="T67" s="16"/>
      <c r="U67" s="16"/>
      <c r="V67" s="26"/>
      <c r="W67" s="24"/>
    </row>
    <row r="68" ht="19.8" customHeight="1" spans="1:23">
      <c r="A68" s="13"/>
      <c r="B68" s="14"/>
      <c r="C68" s="20" t="s">
        <v>149</v>
      </c>
      <c r="D68" s="16">
        <f t="shared" si="12"/>
        <v>65</v>
      </c>
      <c r="E68" s="16" t="s">
        <v>150</v>
      </c>
      <c r="F68" s="16"/>
      <c r="G68" s="18">
        <v>0</v>
      </c>
      <c r="H68" s="18">
        <f t="shared" si="7"/>
        <v>0</v>
      </c>
      <c r="I68" s="16"/>
      <c r="J68" s="18">
        <v>0</v>
      </c>
      <c r="K68" s="18">
        <f t="shared" si="8"/>
        <v>0</v>
      </c>
      <c r="L68" s="18">
        <f t="shared" si="9"/>
        <v>0</v>
      </c>
      <c r="M68" s="16" t="s">
        <v>24</v>
      </c>
      <c r="N68" s="16"/>
      <c r="O68" s="16"/>
      <c r="P68" s="16"/>
      <c r="Q68" s="16"/>
      <c r="R68" s="16"/>
      <c r="S68" s="16"/>
      <c r="T68" s="16"/>
      <c r="U68" s="16"/>
      <c r="V68" s="26" t="s">
        <v>151</v>
      </c>
      <c r="W68" s="24"/>
    </row>
    <row r="69" ht="19.8" customHeight="1" spans="1:23">
      <c r="A69" s="13"/>
      <c r="B69" s="14"/>
      <c r="C69" s="20" t="s">
        <v>155</v>
      </c>
      <c r="D69" s="16">
        <f t="shared" si="12"/>
        <v>66</v>
      </c>
      <c r="E69" s="16" t="s">
        <v>156</v>
      </c>
      <c r="F69" s="16"/>
      <c r="G69" s="18">
        <v>0</v>
      </c>
      <c r="H69" s="18">
        <f t="shared" ref="H69:H110" si="13">F69*G69</f>
        <v>0</v>
      </c>
      <c r="I69" s="16"/>
      <c r="J69" s="18">
        <v>0</v>
      </c>
      <c r="K69" s="18">
        <f t="shared" ref="K69:K110" si="14">I69*J69</f>
        <v>0</v>
      </c>
      <c r="L69" s="18">
        <f t="shared" ref="L69:L110" si="15">H69-K69</f>
        <v>0</v>
      </c>
      <c r="M69" s="16" t="s">
        <v>24</v>
      </c>
      <c r="N69" s="16"/>
      <c r="O69" s="16"/>
      <c r="P69" s="16"/>
      <c r="Q69" s="16"/>
      <c r="R69" s="16"/>
      <c r="S69" s="16"/>
      <c r="T69" s="16"/>
      <c r="U69" s="16"/>
      <c r="V69" s="26" t="s">
        <v>157</v>
      </c>
      <c r="W69" s="24"/>
    </row>
    <row r="70" ht="19.8" customHeight="1" spans="1:23">
      <c r="A70" s="13"/>
      <c r="B70" s="14"/>
      <c r="C70" s="20" t="s">
        <v>160</v>
      </c>
      <c r="D70" s="16">
        <f t="shared" si="12"/>
        <v>67</v>
      </c>
      <c r="E70" s="16" t="s">
        <v>160</v>
      </c>
      <c r="F70" s="16"/>
      <c r="G70" s="18">
        <v>0</v>
      </c>
      <c r="H70" s="18">
        <f t="shared" si="13"/>
        <v>0</v>
      </c>
      <c r="I70" s="16"/>
      <c r="J70" s="18">
        <v>0</v>
      </c>
      <c r="K70" s="18">
        <f t="shared" si="14"/>
        <v>0</v>
      </c>
      <c r="L70" s="18">
        <f t="shared" si="15"/>
        <v>0</v>
      </c>
      <c r="M70" s="16" t="s">
        <v>24</v>
      </c>
      <c r="N70" s="16"/>
      <c r="O70" s="16"/>
      <c r="P70" s="16"/>
      <c r="Q70" s="16"/>
      <c r="R70" s="16"/>
      <c r="S70" s="16"/>
      <c r="T70" s="16"/>
      <c r="U70" s="16"/>
      <c r="V70" s="26"/>
      <c r="W70" s="24"/>
    </row>
    <row r="71" ht="19.8" customHeight="1" spans="1:23">
      <c r="A71" s="13"/>
      <c r="B71" s="14"/>
      <c r="C71" s="20" t="s">
        <v>65</v>
      </c>
      <c r="D71" s="16">
        <f t="shared" si="12"/>
        <v>68</v>
      </c>
      <c r="E71" s="16" t="s">
        <v>163</v>
      </c>
      <c r="F71" s="16"/>
      <c r="G71" s="18">
        <v>0</v>
      </c>
      <c r="H71" s="18">
        <f t="shared" si="13"/>
        <v>0</v>
      </c>
      <c r="I71" s="16"/>
      <c r="J71" s="18">
        <v>0</v>
      </c>
      <c r="K71" s="18">
        <f t="shared" si="14"/>
        <v>0</v>
      </c>
      <c r="L71" s="18">
        <f t="shared" si="15"/>
        <v>0</v>
      </c>
      <c r="M71" s="16" t="s">
        <v>24</v>
      </c>
      <c r="N71" s="16"/>
      <c r="O71" s="16"/>
      <c r="P71" s="16"/>
      <c r="Q71" s="16"/>
      <c r="R71" s="16"/>
      <c r="S71" s="16"/>
      <c r="T71" s="16"/>
      <c r="U71" s="16"/>
      <c r="V71" s="26" t="s">
        <v>164</v>
      </c>
      <c r="W71" s="24"/>
    </row>
    <row r="72" ht="19.8" customHeight="1" spans="1:23">
      <c r="A72" s="13"/>
      <c r="B72" s="14" t="s">
        <v>165</v>
      </c>
      <c r="C72" s="20" t="s">
        <v>166</v>
      </c>
      <c r="D72" s="16">
        <f t="shared" si="12"/>
        <v>69</v>
      </c>
      <c r="E72" s="16" t="s">
        <v>167</v>
      </c>
      <c r="F72" s="16"/>
      <c r="G72" s="18">
        <v>0</v>
      </c>
      <c r="H72" s="18">
        <f t="shared" si="13"/>
        <v>0</v>
      </c>
      <c r="I72" s="16"/>
      <c r="J72" s="18">
        <v>0</v>
      </c>
      <c r="K72" s="18">
        <f t="shared" si="14"/>
        <v>0</v>
      </c>
      <c r="L72" s="18">
        <f t="shared" si="15"/>
        <v>0</v>
      </c>
      <c r="M72" s="16" t="s">
        <v>24</v>
      </c>
      <c r="N72" s="16"/>
      <c r="O72" s="16"/>
      <c r="P72" s="16"/>
      <c r="Q72" s="16"/>
      <c r="R72" s="16"/>
      <c r="S72" s="16"/>
      <c r="T72" s="16"/>
      <c r="U72" s="16"/>
      <c r="V72" s="26" t="s">
        <v>67</v>
      </c>
      <c r="W72" s="24"/>
    </row>
    <row r="73" ht="19.8" customHeight="1" spans="1:23">
      <c r="A73" s="13"/>
      <c r="B73" s="14"/>
      <c r="C73" s="20"/>
      <c r="D73" s="16">
        <f t="shared" si="12"/>
        <v>70</v>
      </c>
      <c r="E73" s="16" t="s">
        <v>168</v>
      </c>
      <c r="F73" s="16"/>
      <c r="G73" s="18">
        <v>0</v>
      </c>
      <c r="H73" s="18">
        <f t="shared" si="13"/>
        <v>0</v>
      </c>
      <c r="I73" s="16"/>
      <c r="J73" s="18">
        <v>0</v>
      </c>
      <c r="K73" s="18">
        <f t="shared" si="14"/>
        <v>0</v>
      </c>
      <c r="L73" s="18">
        <f t="shared" si="15"/>
        <v>0</v>
      </c>
      <c r="M73" s="16" t="s">
        <v>24</v>
      </c>
      <c r="N73" s="16"/>
      <c r="O73" s="16"/>
      <c r="P73" s="16"/>
      <c r="Q73" s="16"/>
      <c r="R73" s="16"/>
      <c r="S73" s="16"/>
      <c r="T73" s="16"/>
      <c r="U73" s="16"/>
      <c r="V73" s="26"/>
      <c r="W73" s="24"/>
    </row>
    <row r="74" ht="19.8" customHeight="1" spans="1:23">
      <c r="A74" s="13"/>
      <c r="B74" s="14"/>
      <c r="C74" s="20"/>
      <c r="D74" s="16">
        <f t="shared" si="12"/>
        <v>71</v>
      </c>
      <c r="E74" s="16" t="s">
        <v>169</v>
      </c>
      <c r="F74" s="16"/>
      <c r="G74" s="18">
        <v>0</v>
      </c>
      <c r="H74" s="18">
        <f t="shared" si="13"/>
        <v>0</v>
      </c>
      <c r="I74" s="16"/>
      <c r="J74" s="18">
        <v>0</v>
      </c>
      <c r="K74" s="18">
        <f t="shared" si="14"/>
        <v>0</v>
      </c>
      <c r="L74" s="18">
        <f t="shared" si="15"/>
        <v>0</v>
      </c>
      <c r="M74" s="16" t="s">
        <v>24</v>
      </c>
      <c r="N74" s="16"/>
      <c r="O74" s="16"/>
      <c r="P74" s="16"/>
      <c r="Q74" s="16"/>
      <c r="R74" s="16"/>
      <c r="S74" s="16"/>
      <c r="T74" s="16"/>
      <c r="U74" s="16"/>
      <c r="V74" s="26"/>
      <c r="W74" s="24"/>
    </row>
    <row r="75" ht="19.8" customHeight="1" spans="1:23">
      <c r="A75" s="13"/>
      <c r="B75" s="14"/>
      <c r="C75" s="20"/>
      <c r="D75" s="16">
        <f t="shared" ref="D75:D85" si="16">ROW()-3</f>
        <v>72</v>
      </c>
      <c r="E75" s="16" t="s">
        <v>170</v>
      </c>
      <c r="F75" s="16"/>
      <c r="G75" s="18">
        <v>0</v>
      </c>
      <c r="H75" s="18">
        <f t="shared" si="13"/>
        <v>0</v>
      </c>
      <c r="I75" s="16"/>
      <c r="J75" s="18">
        <v>0</v>
      </c>
      <c r="K75" s="18">
        <f t="shared" si="14"/>
        <v>0</v>
      </c>
      <c r="L75" s="18">
        <f t="shared" si="15"/>
        <v>0</v>
      </c>
      <c r="M75" s="16" t="s">
        <v>24</v>
      </c>
      <c r="N75" s="16"/>
      <c r="O75" s="16"/>
      <c r="P75" s="16"/>
      <c r="Q75" s="16"/>
      <c r="R75" s="16"/>
      <c r="S75" s="16"/>
      <c r="T75" s="16"/>
      <c r="U75" s="16"/>
      <c r="V75" s="26"/>
      <c r="W75" s="24"/>
    </row>
    <row r="76" ht="19.8" customHeight="1" spans="1:23">
      <c r="A76" s="13"/>
      <c r="B76" s="14"/>
      <c r="C76" s="20" t="s">
        <v>171</v>
      </c>
      <c r="D76" s="16">
        <f t="shared" si="16"/>
        <v>73</v>
      </c>
      <c r="E76" s="16" t="s">
        <v>172</v>
      </c>
      <c r="F76" s="16"/>
      <c r="G76" s="18">
        <v>0</v>
      </c>
      <c r="H76" s="18">
        <f t="shared" si="13"/>
        <v>0</v>
      </c>
      <c r="I76" s="16"/>
      <c r="J76" s="18">
        <v>0</v>
      </c>
      <c r="K76" s="18">
        <f t="shared" si="14"/>
        <v>0</v>
      </c>
      <c r="L76" s="18">
        <f t="shared" si="15"/>
        <v>0</v>
      </c>
      <c r="M76" s="16" t="s">
        <v>24</v>
      </c>
      <c r="N76" s="16"/>
      <c r="O76" s="16"/>
      <c r="P76" s="16"/>
      <c r="Q76" s="16"/>
      <c r="R76" s="16"/>
      <c r="S76" s="16"/>
      <c r="T76" s="16"/>
      <c r="U76" s="16"/>
      <c r="V76" s="26" t="s">
        <v>67</v>
      </c>
      <c r="W76" s="24"/>
    </row>
    <row r="77" ht="19.8" customHeight="1" spans="1:23">
      <c r="A77" s="13"/>
      <c r="B77" s="14" t="s">
        <v>173</v>
      </c>
      <c r="C77" s="20" t="s">
        <v>174</v>
      </c>
      <c r="D77" s="16">
        <f t="shared" si="16"/>
        <v>74</v>
      </c>
      <c r="E77" s="17" t="s">
        <v>175</v>
      </c>
      <c r="F77" s="16"/>
      <c r="G77" s="18">
        <v>0</v>
      </c>
      <c r="H77" s="18">
        <f t="shared" si="13"/>
        <v>0</v>
      </c>
      <c r="I77" s="16"/>
      <c r="J77" s="18">
        <v>0</v>
      </c>
      <c r="K77" s="18">
        <f t="shared" si="14"/>
        <v>0</v>
      </c>
      <c r="L77" s="18">
        <f t="shared" si="15"/>
        <v>0</v>
      </c>
      <c r="M77" s="16" t="s">
        <v>24</v>
      </c>
      <c r="N77" s="16"/>
      <c r="O77" s="16"/>
      <c r="P77" s="16"/>
      <c r="Q77" s="16"/>
      <c r="R77" s="16"/>
      <c r="S77" s="16"/>
      <c r="T77" s="16"/>
      <c r="U77" s="16"/>
      <c r="V77" s="26" t="s">
        <v>223</v>
      </c>
      <c r="W77" s="24"/>
    </row>
    <row r="78" ht="19.8" customHeight="1" spans="1:23">
      <c r="A78" s="13"/>
      <c r="B78" s="14"/>
      <c r="C78" s="20"/>
      <c r="D78" s="16">
        <f t="shared" si="16"/>
        <v>75</v>
      </c>
      <c r="E78" s="17" t="s">
        <v>177</v>
      </c>
      <c r="F78" s="16"/>
      <c r="G78" s="18">
        <v>0</v>
      </c>
      <c r="H78" s="18">
        <f t="shared" si="13"/>
        <v>0</v>
      </c>
      <c r="I78" s="16"/>
      <c r="J78" s="18">
        <v>0</v>
      </c>
      <c r="K78" s="18">
        <f t="shared" si="14"/>
        <v>0</v>
      </c>
      <c r="L78" s="18">
        <f t="shared" si="15"/>
        <v>0</v>
      </c>
      <c r="M78" s="16" t="s">
        <v>24</v>
      </c>
      <c r="N78" s="16"/>
      <c r="O78" s="16"/>
      <c r="P78" s="16"/>
      <c r="Q78" s="16"/>
      <c r="R78" s="16"/>
      <c r="S78" s="16"/>
      <c r="T78" s="16"/>
      <c r="U78" s="16"/>
      <c r="V78" s="26"/>
      <c r="W78" s="24"/>
    </row>
    <row r="79" ht="19.8" customHeight="1" spans="1:23">
      <c r="A79" s="13"/>
      <c r="B79" s="14"/>
      <c r="C79" s="20"/>
      <c r="D79" s="16">
        <f t="shared" si="16"/>
        <v>76</v>
      </c>
      <c r="E79" s="17" t="s">
        <v>178</v>
      </c>
      <c r="F79" s="16"/>
      <c r="G79" s="18">
        <v>0</v>
      </c>
      <c r="H79" s="18">
        <f t="shared" si="13"/>
        <v>0</v>
      </c>
      <c r="I79" s="16"/>
      <c r="J79" s="18">
        <v>0</v>
      </c>
      <c r="K79" s="18">
        <f t="shared" si="14"/>
        <v>0</v>
      </c>
      <c r="L79" s="18">
        <f t="shared" si="15"/>
        <v>0</v>
      </c>
      <c r="M79" s="16" t="s">
        <v>24</v>
      </c>
      <c r="N79" s="16"/>
      <c r="O79" s="16"/>
      <c r="P79" s="16"/>
      <c r="Q79" s="16"/>
      <c r="R79" s="16"/>
      <c r="S79" s="16"/>
      <c r="T79" s="16"/>
      <c r="U79" s="16"/>
      <c r="V79" s="26"/>
      <c r="W79" s="24"/>
    </row>
    <row r="80" ht="19.8" customHeight="1" spans="1:23">
      <c r="A80" s="13"/>
      <c r="B80" s="14"/>
      <c r="C80" s="20"/>
      <c r="D80" s="16">
        <f t="shared" si="16"/>
        <v>77</v>
      </c>
      <c r="E80" s="17" t="s">
        <v>179</v>
      </c>
      <c r="F80" s="16"/>
      <c r="G80" s="18">
        <v>0</v>
      </c>
      <c r="H80" s="18">
        <f t="shared" si="13"/>
        <v>0</v>
      </c>
      <c r="I80" s="16"/>
      <c r="J80" s="18">
        <v>0</v>
      </c>
      <c r="K80" s="18">
        <f t="shared" si="14"/>
        <v>0</v>
      </c>
      <c r="L80" s="18">
        <f t="shared" si="15"/>
        <v>0</v>
      </c>
      <c r="M80" s="16" t="s">
        <v>24</v>
      </c>
      <c r="N80" s="16"/>
      <c r="O80" s="16"/>
      <c r="P80" s="16"/>
      <c r="Q80" s="16"/>
      <c r="R80" s="16"/>
      <c r="S80" s="16"/>
      <c r="T80" s="16"/>
      <c r="U80" s="16"/>
      <c r="V80" s="26"/>
      <c r="W80" s="24"/>
    </row>
    <row r="81" ht="19.8" customHeight="1" spans="1:23">
      <c r="A81" s="13"/>
      <c r="B81" s="14"/>
      <c r="C81" s="20"/>
      <c r="D81" s="16">
        <f t="shared" si="16"/>
        <v>78</v>
      </c>
      <c r="E81" s="17" t="s">
        <v>180</v>
      </c>
      <c r="F81" s="16"/>
      <c r="G81" s="18">
        <v>0</v>
      </c>
      <c r="H81" s="18">
        <f t="shared" si="13"/>
        <v>0</v>
      </c>
      <c r="I81" s="16"/>
      <c r="J81" s="18">
        <v>0</v>
      </c>
      <c r="K81" s="18">
        <f t="shared" si="14"/>
        <v>0</v>
      </c>
      <c r="L81" s="18">
        <f t="shared" si="15"/>
        <v>0</v>
      </c>
      <c r="M81" s="16" t="s">
        <v>24</v>
      </c>
      <c r="N81" s="16"/>
      <c r="O81" s="16"/>
      <c r="P81" s="16"/>
      <c r="Q81" s="16"/>
      <c r="R81" s="16"/>
      <c r="S81" s="16"/>
      <c r="T81" s="16"/>
      <c r="U81" s="16"/>
      <c r="V81" s="26" t="s">
        <v>181</v>
      </c>
      <c r="W81" s="24"/>
    </row>
    <row r="82" ht="19.8" customHeight="1" spans="1:23">
      <c r="A82" s="13"/>
      <c r="B82" s="14"/>
      <c r="C82" s="20"/>
      <c r="D82" s="16">
        <f t="shared" si="16"/>
        <v>79</v>
      </c>
      <c r="E82" s="17" t="s">
        <v>184</v>
      </c>
      <c r="F82" s="16"/>
      <c r="G82" s="18">
        <v>0</v>
      </c>
      <c r="H82" s="18">
        <f t="shared" si="13"/>
        <v>0</v>
      </c>
      <c r="I82" s="16"/>
      <c r="J82" s="18">
        <v>0</v>
      </c>
      <c r="K82" s="18">
        <f t="shared" si="14"/>
        <v>0</v>
      </c>
      <c r="L82" s="18">
        <f t="shared" si="15"/>
        <v>0</v>
      </c>
      <c r="M82" s="16" t="s">
        <v>24</v>
      </c>
      <c r="N82" s="16"/>
      <c r="O82" s="16"/>
      <c r="P82" s="16"/>
      <c r="Q82" s="16"/>
      <c r="R82" s="16"/>
      <c r="S82" s="16"/>
      <c r="T82" s="16"/>
      <c r="U82" s="16"/>
      <c r="V82" s="26"/>
      <c r="W82" s="24"/>
    </row>
    <row r="83" ht="19.8" customHeight="1" spans="1:23">
      <c r="A83" s="13"/>
      <c r="B83" s="14"/>
      <c r="C83" s="20"/>
      <c r="D83" s="16">
        <f t="shared" si="16"/>
        <v>80</v>
      </c>
      <c r="E83" s="17" t="s">
        <v>185</v>
      </c>
      <c r="F83" s="16"/>
      <c r="G83" s="18">
        <v>0</v>
      </c>
      <c r="H83" s="18">
        <f t="shared" si="13"/>
        <v>0</v>
      </c>
      <c r="I83" s="16"/>
      <c r="J83" s="18">
        <v>0</v>
      </c>
      <c r="K83" s="18">
        <f t="shared" si="14"/>
        <v>0</v>
      </c>
      <c r="L83" s="18">
        <f t="shared" si="15"/>
        <v>0</v>
      </c>
      <c r="M83" s="16" t="s">
        <v>24</v>
      </c>
      <c r="N83" s="16"/>
      <c r="O83" s="16"/>
      <c r="P83" s="16"/>
      <c r="Q83" s="16"/>
      <c r="R83" s="16"/>
      <c r="S83" s="16"/>
      <c r="T83" s="16"/>
      <c r="U83" s="16"/>
      <c r="V83" s="26"/>
      <c r="W83" s="24"/>
    </row>
    <row r="84" ht="19.8" customHeight="1" spans="1:23">
      <c r="A84" s="13"/>
      <c r="B84" s="14"/>
      <c r="C84" s="19" t="s">
        <v>186</v>
      </c>
      <c r="D84" s="16">
        <f t="shared" si="16"/>
        <v>81</v>
      </c>
      <c r="E84" s="17" t="s">
        <v>187</v>
      </c>
      <c r="F84" s="16"/>
      <c r="G84" s="18">
        <v>0</v>
      </c>
      <c r="H84" s="18">
        <f t="shared" si="13"/>
        <v>0</v>
      </c>
      <c r="I84" s="16"/>
      <c r="J84" s="18">
        <v>0</v>
      </c>
      <c r="K84" s="18">
        <f t="shared" si="14"/>
        <v>0</v>
      </c>
      <c r="L84" s="18">
        <f t="shared" si="15"/>
        <v>0</v>
      </c>
      <c r="M84" s="16" t="s">
        <v>24</v>
      </c>
      <c r="N84" s="16"/>
      <c r="O84" s="16"/>
      <c r="P84" s="16"/>
      <c r="Q84" s="16"/>
      <c r="R84" s="16"/>
      <c r="S84" s="16"/>
      <c r="T84" s="16"/>
      <c r="U84" s="16"/>
      <c r="V84" s="26"/>
      <c r="W84" s="24"/>
    </row>
    <row r="85" ht="19.8" customHeight="1" spans="1:23">
      <c r="A85" s="13"/>
      <c r="B85" s="14"/>
      <c r="C85" s="19"/>
      <c r="D85" s="16">
        <f t="shared" si="16"/>
        <v>82</v>
      </c>
      <c r="E85" s="17" t="s">
        <v>188</v>
      </c>
      <c r="F85" s="16"/>
      <c r="G85" s="18">
        <v>0</v>
      </c>
      <c r="H85" s="18">
        <f t="shared" si="13"/>
        <v>0</v>
      </c>
      <c r="I85" s="16"/>
      <c r="J85" s="18">
        <v>0</v>
      </c>
      <c r="K85" s="18">
        <f t="shared" si="14"/>
        <v>0</v>
      </c>
      <c r="L85" s="18">
        <f t="shared" si="15"/>
        <v>0</v>
      </c>
      <c r="M85" s="16" t="s">
        <v>24</v>
      </c>
      <c r="N85" s="16"/>
      <c r="O85" s="16"/>
      <c r="P85" s="16"/>
      <c r="Q85" s="16"/>
      <c r="R85" s="16"/>
      <c r="S85" s="16"/>
      <c r="T85" s="16"/>
      <c r="U85" s="16"/>
      <c r="V85" s="26"/>
      <c r="W85" s="24"/>
    </row>
    <row r="86" ht="19.8" customHeight="1" spans="1:23">
      <c r="A86" s="13"/>
      <c r="B86" s="14"/>
      <c r="C86" s="19"/>
      <c r="D86" s="16">
        <f t="shared" ref="D86:D93" si="17">ROW()-3</f>
        <v>83</v>
      </c>
      <c r="E86" s="17" t="s">
        <v>189</v>
      </c>
      <c r="F86" s="16"/>
      <c r="G86" s="18">
        <v>0</v>
      </c>
      <c r="H86" s="18">
        <f t="shared" si="13"/>
        <v>0</v>
      </c>
      <c r="I86" s="16"/>
      <c r="J86" s="18">
        <v>0</v>
      </c>
      <c r="K86" s="18">
        <f t="shared" si="14"/>
        <v>0</v>
      </c>
      <c r="L86" s="18">
        <f t="shared" si="15"/>
        <v>0</v>
      </c>
      <c r="M86" s="16" t="s">
        <v>24</v>
      </c>
      <c r="N86" s="16"/>
      <c r="O86" s="16"/>
      <c r="P86" s="16"/>
      <c r="Q86" s="16"/>
      <c r="R86" s="16"/>
      <c r="S86" s="16"/>
      <c r="T86" s="16"/>
      <c r="U86" s="16"/>
      <c r="V86" s="26"/>
      <c r="W86" s="24"/>
    </row>
    <row r="87" ht="19.8" customHeight="1" spans="1:23">
      <c r="A87" s="13"/>
      <c r="B87" s="14"/>
      <c r="C87" s="19"/>
      <c r="D87" s="16">
        <f t="shared" si="17"/>
        <v>84</v>
      </c>
      <c r="E87" s="17" t="s">
        <v>190</v>
      </c>
      <c r="F87" s="16"/>
      <c r="G87" s="18">
        <v>0</v>
      </c>
      <c r="H87" s="18">
        <f t="shared" si="13"/>
        <v>0</v>
      </c>
      <c r="I87" s="16"/>
      <c r="J87" s="18">
        <v>0</v>
      </c>
      <c r="K87" s="18">
        <f t="shared" si="14"/>
        <v>0</v>
      </c>
      <c r="L87" s="18">
        <f t="shared" si="15"/>
        <v>0</v>
      </c>
      <c r="M87" s="16" t="s">
        <v>24</v>
      </c>
      <c r="N87" s="16"/>
      <c r="O87" s="16"/>
      <c r="P87" s="16"/>
      <c r="Q87" s="16"/>
      <c r="R87" s="16"/>
      <c r="S87" s="16"/>
      <c r="T87" s="16"/>
      <c r="U87" s="16"/>
      <c r="V87" s="26"/>
      <c r="W87" s="24"/>
    </row>
    <row r="88" ht="19.8" customHeight="1" spans="1:23">
      <c r="A88" s="13"/>
      <c r="B88" s="14"/>
      <c r="C88" s="19"/>
      <c r="D88" s="16">
        <f t="shared" si="17"/>
        <v>85</v>
      </c>
      <c r="E88" s="17" t="s">
        <v>224</v>
      </c>
      <c r="F88" s="16"/>
      <c r="G88" s="18">
        <v>0</v>
      </c>
      <c r="H88" s="18">
        <f t="shared" si="13"/>
        <v>0</v>
      </c>
      <c r="I88" s="16"/>
      <c r="J88" s="18">
        <v>0</v>
      </c>
      <c r="K88" s="18">
        <f t="shared" si="14"/>
        <v>0</v>
      </c>
      <c r="L88" s="18">
        <f t="shared" si="15"/>
        <v>0</v>
      </c>
      <c r="M88" s="16" t="s">
        <v>24</v>
      </c>
      <c r="N88" s="16"/>
      <c r="O88" s="16"/>
      <c r="P88" s="16"/>
      <c r="Q88" s="16"/>
      <c r="R88" s="16"/>
      <c r="S88" s="16"/>
      <c r="T88" s="16"/>
      <c r="U88" s="16"/>
      <c r="V88" s="26"/>
      <c r="W88" s="24"/>
    </row>
    <row r="89" ht="19.8" customHeight="1" spans="1:23">
      <c r="A89" s="13"/>
      <c r="B89" s="14"/>
      <c r="C89" s="19"/>
      <c r="D89" s="16">
        <f t="shared" si="17"/>
        <v>86</v>
      </c>
      <c r="E89" s="17" t="s">
        <v>225</v>
      </c>
      <c r="F89" s="16"/>
      <c r="G89" s="18">
        <v>0</v>
      </c>
      <c r="H89" s="18">
        <f t="shared" si="13"/>
        <v>0</v>
      </c>
      <c r="I89" s="16"/>
      <c r="J89" s="18">
        <v>0</v>
      </c>
      <c r="K89" s="18">
        <f t="shared" si="14"/>
        <v>0</v>
      </c>
      <c r="L89" s="18">
        <f t="shared" si="15"/>
        <v>0</v>
      </c>
      <c r="M89" s="16" t="s">
        <v>24</v>
      </c>
      <c r="N89" s="16"/>
      <c r="O89" s="16"/>
      <c r="P89" s="16"/>
      <c r="Q89" s="16"/>
      <c r="R89" s="16"/>
      <c r="S89" s="16"/>
      <c r="T89" s="16"/>
      <c r="U89" s="16"/>
      <c r="V89" s="26"/>
      <c r="W89" s="24"/>
    </row>
    <row r="90" ht="19.8" customHeight="1" spans="1:23">
      <c r="A90" s="13"/>
      <c r="B90" s="14"/>
      <c r="C90" s="19"/>
      <c r="D90" s="16">
        <f t="shared" si="17"/>
        <v>87</v>
      </c>
      <c r="E90" s="17" t="s">
        <v>82</v>
      </c>
      <c r="F90" s="16"/>
      <c r="G90" s="18">
        <v>0</v>
      </c>
      <c r="H90" s="18">
        <f t="shared" si="13"/>
        <v>0</v>
      </c>
      <c r="I90" s="16"/>
      <c r="J90" s="18">
        <v>0</v>
      </c>
      <c r="K90" s="18">
        <f t="shared" si="14"/>
        <v>0</v>
      </c>
      <c r="L90" s="18">
        <f t="shared" si="15"/>
        <v>0</v>
      </c>
      <c r="M90" s="16" t="s">
        <v>24</v>
      </c>
      <c r="N90" s="16"/>
      <c r="O90" s="16"/>
      <c r="P90" s="16"/>
      <c r="Q90" s="16"/>
      <c r="R90" s="16"/>
      <c r="S90" s="16"/>
      <c r="T90" s="16"/>
      <c r="U90" s="16"/>
      <c r="V90" s="26"/>
      <c r="W90" s="24"/>
    </row>
    <row r="91" ht="19.8" customHeight="1" spans="1:23">
      <c r="A91" s="13"/>
      <c r="B91" s="14"/>
      <c r="C91" s="19"/>
      <c r="D91" s="16">
        <f t="shared" si="17"/>
        <v>88</v>
      </c>
      <c r="E91" s="17" t="s">
        <v>79</v>
      </c>
      <c r="F91" s="16"/>
      <c r="G91" s="18">
        <v>0</v>
      </c>
      <c r="H91" s="18">
        <f t="shared" si="13"/>
        <v>0</v>
      </c>
      <c r="I91" s="16"/>
      <c r="J91" s="18">
        <v>0</v>
      </c>
      <c r="K91" s="18">
        <f t="shared" si="14"/>
        <v>0</v>
      </c>
      <c r="L91" s="18">
        <f t="shared" si="15"/>
        <v>0</v>
      </c>
      <c r="M91" s="16" t="s">
        <v>24</v>
      </c>
      <c r="N91" s="16"/>
      <c r="O91" s="16"/>
      <c r="P91" s="16"/>
      <c r="Q91" s="16"/>
      <c r="R91" s="16"/>
      <c r="S91" s="16"/>
      <c r="T91" s="16"/>
      <c r="U91" s="16"/>
      <c r="V91" s="26"/>
      <c r="W91" s="24"/>
    </row>
    <row r="92" ht="19.8" customHeight="1" spans="1:23">
      <c r="A92" s="13"/>
      <c r="B92" s="14"/>
      <c r="C92" s="19"/>
      <c r="D92" s="16">
        <f t="shared" si="17"/>
        <v>89</v>
      </c>
      <c r="E92" s="17" t="s">
        <v>193</v>
      </c>
      <c r="F92" s="16"/>
      <c r="G92" s="18">
        <v>0</v>
      </c>
      <c r="H92" s="18">
        <f t="shared" si="13"/>
        <v>0</v>
      </c>
      <c r="I92" s="16"/>
      <c r="J92" s="18">
        <v>0</v>
      </c>
      <c r="K92" s="18">
        <f t="shared" si="14"/>
        <v>0</v>
      </c>
      <c r="L92" s="18">
        <f t="shared" si="15"/>
        <v>0</v>
      </c>
      <c r="M92" s="16" t="s">
        <v>24</v>
      </c>
      <c r="N92" s="16"/>
      <c r="O92" s="16"/>
      <c r="P92" s="16"/>
      <c r="Q92" s="16"/>
      <c r="R92" s="16"/>
      <c r="S92" s="16"/>
      <c r="T92" s="16"/>
      <c r="U92" s="16"/>
      <c r="V92" s="26"/>
      <c r="W92" s="24"/>
    </row>
    <row r="93" ht="19.8" customHeight="1" spans="1:23">
      <c r="A93" s="13"/>
      <c r="B93" s="14"/>
      <c r="C93" s="19"/>
      <c r="D93" s="16">
        <f t="shared" si="17"/>
        <v>90</v>
      </c>
      <c r="E93" s="17" t="s">
        <v>194</v>
      </c>
      <c r="F93" s="16"/>
      <c r="G93" s="18">
        <v>0</v>
      </c>
      <c r="H93" s="18">
        <f t="shared" si="13"/>
        <v>0</v>
      </c>
      <c r="I93" s="16"/>
      <c r="J93" s="18">
        <v>0</v>
      </c>
      <c r="K93" s="18">
        <f t="shared" si="14"/>
        <v>0</v>
      </c>
      <c r="L93" s="18">
        <f t="shared" si="15"/>
        <v>0</v>
      </c>
      <c r="M93" s="16" t="s">
        <v>24</v>
      </c>
      <c r="N93" s="16"/>
      <c r="O93" s="16"/>
      <c r="P93" s="16"/>
      <c r="Q93" s="16"/>
      <c r="R93" s="16"/>
      <c r="S93" s="16"/>
      <c r="T93" s="16"/>
      <c r="U93" s="16"/>
      <c r="V93" s="26"/>
      <c r="W93" s="24"/>
    </row>
    <row r="94" ht="19.8" customHeight="1" spans="1:23">
      <c r="A94" s="13"/>
      <c r="B94" s="14"/>
      <c r="C94" s="19"/>
      <c r="D94" s="16">
        <f t="shared" ref="D94:D103" si="18">ROW()-3</f>
        <v>91</v>
      </c>
      <c r="E94" s="17" t="s">
        <v>104</v>
      </c>
      <c r="F94" s="16"/>
      <c r="G94" s="18">
        <v>0</v>
      </c>
      <c r="H94" s="18">
        <f t="shared" si="13"/>
        <v>0</v>
      </c>
      <c r="I94" s="16"/>
      <c r="J94" s="18">
        <v>0</v>
      </c>
      <c r="K94" s="18">
        <f t="shared" si="14"/>
        <v>0</v>
      </c>
      <c r="L94" s="18">
        <f t="shared" si="15"/>
        <v>0</v>
      </c>
      <c r="M94" s="16" t="s">
        <v>24</v>
      </c>
      <c r="N94" s="16"/>
      <c r="O94" s="16"/>
      <c r="P94" s="16"/>
      <c r="Q94" s="16"/>
      <c r="R94" s="16"/>
      <c r="S94" s="16"/>
      <c r="T94" s="16"/>
      <c r="U94" s="16"/>
      <c r="V94" s="26"/>
      <c r="W94" s="24"/>
    </row>
    <row r="95" ht="19.8" customHeight="1" spans="1:23">
      <c r="A95" s="13"/>
      <c r="B95" s="14"/>
      <c r="C95" s="19"/>
      <c r="D95" s="16">
        <f t="shared" si="18"/>
        <v>92</v>
      </c>
      <c r="E95" s="17" t="s">
        <v>105</v>
      </c>
      <c r="F95" s="16"/>
      <c r="G95" s="18">
        <v>0</v>
      </c>
      <c r="H95" s="18">
        <f t="shared" si="13"/>
        <v>0</v>
      </c>
      <c r="I95" s="16"/>
      <c r="J95" s="18">
        <v>0</v>
      </c>
      <c r="K95" s="18">
        <f t="shared" si="14"/>
        <v>0</v>
      </c>
      <c r="L95" s="18">
        <f t="shared" si="15"/>
        <v>0</v>
      </c>
      <c r="M95" s="16" t="s">
        <v>24</v>
      </c>
      <c r="N95" s="16"/>
      <c r="O95" s="16"/>
      <c r="P95" s="16"/>
      <c r="Q95" s="16"/>
      <c r="R95" s="16"/>
      <c r="S95" s="16"/>
      <c r="T95" s="16"/>
      <c r="U95" s="16"/>
      <c r="V95" s="26"/>
      <c r="W95" s="24"/>
    </row>
    <row r="96" ht="19.8" customHeight="1" spans="1:23">
      <c r="A96" s="13"/>
      <c r="B96" s="14"/>
      <c r="C96" s="19"/>
      <c r="D96" s="16">
        <f t="shared" si="18"/>
        <v>93</v>
      </c>
      <c r="E96" s="17" t="s">
        <v>195</v>
      </c>
      <c r="F96" s="16"/>
      <c r="G96" s="18">
        <v>0</v>
      </c>
      <c r="H96" s="18">
        <f t="shared" si="13"/>
        <v>0</v>
      </c>
      <c r="I96" s="16"/>
      <c r="J96" s="18">
        <v>0</v>
      </c>
      <c r="K96" s="18">
        <f t="shared" si="14"/>
        <v>0</v>
      </c>
      <c r="L96" s="18">
        <f t="shared" si="15"/>
        <v>0</v>
      </c>
      <c r="M96" s="16" t="s">
        <v>24</v>
      </c>
      <c r="N96" s="16"/>
      <c r="O96" s="16"/>
      <c r="P96" s="16"/>
      <c r="Q96" s="16"/>
      <c r="R96" s="16"/>
      <c r="S96" s="16"/>
      <c r="T96" s="16"/>
      <c r="U96" s="16"/>
      <c r="V96" s="26"/>
      <c r="W96" s="24"/>
    </row>
    <row r="97" ht="19.8" customHeight="1" spans="1:23">
      <c r="A97" s="13"/>
      <c r="B97" s="14"/>
      <c r="C97" s="19"/>
      <c r="D97" s="16">
        <f t="shared" si="18"/>
        <v>94</v>
      </c>
      <c r="E97" s="17" t="s">
        <v>196</v>
      </c>
      <c r="F97" s="16"/>
      <c r="G97" s="18">
        <v>0</v>
      </c>
      <c r="H97" s="18">
        <f t="shared" si="13"/>
        <v>0</v>
      </c>
      <c r="I97" s="16"/>
      <c r="J97" s="18">
        <v>0</v>
      </c>
      <c r="K97" s="18">
        <f t="shared" si="14"/>
        <v>0</v>
      </c>
      <c r="L97" s="18">
        <f t="shared" si="15"/>
        <v>0</v>
      </c>
      <c r="M97" s="16" t="s">
        <v>24</v>
      </c>
      <c r="N97" s="16"/>
      <c r="O97" s="16"/>
      <c r="P97" s="16"/>
      <c r="Q97" s="16"/>
      <c r="R97" s="16"/>
      <c r="S97" s="16"/>
      <c r="T97" s="16"/>
      <c r="U97" s="16"/>
      <c r="V97" s="26"/>
      <c r="W97" s="24"/>
    </row>
    <row r="98" ht="19.8" customHeight="1" spans="1:23">
      <c r="A98" s="13"/>
      <c r="B98" s="14"/>
      <c r="C98" s="19"/>
      <c r="D98" s="16">
        <f t="shared" si="18"/>
        <v>95</v>
      </c>
      <c r="E98" s="17" t="s">
        <v>197</v>
      </c>
      <c r="F98" s="16"/>
      <c r="G98" s="18">
        <v>0</v>
      </c>
      <c r="H98" s="18">
        <f t="shared" si="13"/>
        <v>0</v>
      </c>
      <c r="I98" s="16"/>
      <c r="J98" s="18">
        <v>0</v>
      </c>
      <c r="K98" s="18">
        <f t="shared" si="14"/>
        <v>0</v>
      </c>
      <c r="L98" s="18">
        <f t="shared" si="15"/>
        <v>0</v>
      </c>
      <c r="M98" s="16" t="s">
        <v>24</v>
      </c>
      <c r="N98" s="16"/>
      <c r="O98" s="16"/>
      <c r="P98" s="16"/>
      <c r="Q98" s="16"/>
      <c r="R98" s="16"/>
      <c r="S98" s="16"/>
      <c r="T98" s="16"/>
      <c r="U98" s="16"/>
      <c r="V98" s="26"/>
      <c r="W98" s="24"/>
    </row>
    <row r="99" ht="19.8" customHeight="1" spans="1:23">
      <c r="A99" s="13"/>
      <c r="B99" s="14"/>
      <c r="C99" s="19"/>
      <c r="D99" s="16">
        <f t="shared" si="18"/>
        <v>96</v>
      </c>
      <c r="E99" s="17" t="s">
        <v>198</v>
      </c>
      <c r="F99" s="16"/>
      <c r="G99" s="18">
        <v>0</v>
      </c>
      <c r="H99" s="18">
        <f t="shared" si="13"/>
        <v>0</v>
      </c>
      <c r="I99" s="16"/>
      <c r="J99" s="18">
        <v>0</v>
      </c>
      <c r="K99" s="18">
        <f t="shared" si="14"/>
        <v>0</v>
      </c>
      <c r="L99" s="18">
        <f t="shared" si="15"/>
        <v>0</v>
      </c>
      <c r="M99" s="16" t="s">
        <v>24</v>
      </c>
      <c r="N99" s="16"/>
      <c r="O99" s="16"/>
      <c r="P99" s="16"/>
      <c r="Q99" s="16"/>
      <c r="R99" s="16"/>
      <c r="S99" s="16"/>
      <c r="T99" s="16"/>
      <c r="U99" s="16"/>
      <c r="V99" s="26"/>
      <c r="W99" s="24"/>
    </row>
    <row r="100" ht="19.8" customHeight="1" spans="1:23">
      <c r="A100" s="13"/>
      <c r="B100" s="14"/>
      <c r="C100" s="19"/>
      <c r="D100" s="16">
        <f t="shared" si="18"/>
        <v>97</v>
      </c>
      <c r="E100" s="17" t="s">
        <v>200</v>
      </c>
      <c r="F100" s="16"/>
      <c r="G100" s="18">
        <v>0</v>
      </c>
      <c r="H100" s="18">
        <f t="shared" si="13"/>
        <v>0</v>
      </c>
      <c r="I100" s="16"/>
      <c r="J100" s="18">
        <v>0</v>
      </c>
      <c r="K100" s="18">
        <f t="shared" si="14"/>
        <v>0</v>
      </c>
      <c r="L100" s="18">
        <f t="shared" si="15"/>
        <v>0</v>
      </c>
      <c r="M100" s="16" t="s">
        <v>24</v>
      </c>
      <c r="N100" s="16"/>
      <c r="O100" s="16"/>
      <c r="P100" s="16"/>
      <c r="Q100" s="16"/>
      <c r="R100" s="16"/>
      <c r="S100" s="16"/>
      <c r="T100" s="16"/>
      <c r="U100" s="16"/>
      <c r="V100" s="26"/>
      <c r="W100" s="24"/>
    </row>
    <row r="101" ht="19.8" customHeight="1" spans="1:23">
      <c r="A101" s="13"/>
      <c r="B101" s="14"/>
      <c r="C101" s="19"/>
      <c r="D101" s="16">
        <f t="shared" si="18"/>
        <v>98</v>
      </c>
      <c r="E101" s="17" t="s">
        <v>201</v>
      </c>
      <c r="F101" s="16"/>
      <c r="G101" s="18">
        <v>0</v>
      </c>
      <c r="H101" s="18">
        <f t="shared" si="13"/>
        <v>0</v>
      </c>
      <c r="I101" s="16"/>
      <c r="J101" s="18">
        <v>0</v>
      </c>
      <c r="K101" s="18">
        <f t="shared" si="14"/>
        <v>0</v>
      </c>
      <c r="L101" s="18">
        <f t="shared" si="15"/>
        <v>0</v>
      </c>
      <c r="M101" s="16" t="s">
        <v>24</v>
      </c>
      <c r="N101" s="16"/>
      <c r="O101" s="16"/>
      <c r="P101" s="16"/>
      <c r="Q101" s="16"/>
      <c r="R101" s="16"/>
      <c r="S101" s="16"/>
      <c r="T101" s="16"/>
      <c r="U101" s="16"/>
      <c r="V101" s="26"/>
      <c r="W101" s="24"/>
    </row>
    <row r="102" ht="19.8" customHeight="1" spans="1:23">
      <c r="A102" s="13"/>
      <c r="B102" s="14"/>
      <c r="C102" s="19"/>
      <c r="D102" s="16">
        <f t="shared" si="18"/>
        <v>99</v>
      </c>
      <c r="E102" s="17" t="s">
        <v>202</v>
      </c>
      <c r="F102" s="16"/>
      <c r="G102" s="18">
        <v>0</v>
      </c>
      <c r="H102" s="18">
        <f t="shared" si="13"/>
        <v>0</v>
      </c>
      <c r="I102" s="16"/>
      <c r="J102" s="18">
        <v>0</v>
      </c>
      <c r="K102" s="18">
        <f t="shared" si="14"/>
        <v>0</v>
      </c>
      <c r="L102" s="18">
        <f t="shared" si="15"/>
        <v>0</v>
      </c>
      <c r="M102" s="16" t="s">
        <v>24</v>
      </c>
      <c r="N102" s="16"/>
      <c r="O102" s="16"/>
      <c r="P102" s="16"/>
      <c r="Q102" s="16"/>
      <c r="R102" s="16"/>
      <c r="S102" s="16"/>
      <c r="T102" s="16"/>
      <c r="U102" s="16"/>
      <c r="V102" s="26"/>
      <c r="W102" s="24"/>
    </row>
    <row r="103" ht="19.8" customHeight="1" spans="1:23">
      <c r="A103" s="13"/>
      <c r="B103" s="14"/>
      <c r="C103" s="19" t="s">
        <v>203</v>
      </c>
      <c r="D103" s="16">
        <f t="shared" si="18"/>
        <v>100</v>
      </c>
      <c r="E103" s="28" t="s">
        <v>101</v>
      </c>
      <c r="F103" s="16"/>
      <c r="G103" s="18">
        <v>0</v>
      </c>
      <c r="H103" s="18">
        <f t="shared" si="13"/>
        <v>0</v>
      </c>
      <c r="I103" s="16"/>
      <c r="J103" s="18">
        <v>0</v>
      </c>
      <c r="K103" s="18">
        <f t="shared" si="14"/>
        <v>0</v>
      </c>
      <c r="L103" s="18">
        <f t="shared" si="15"/>
        <v>0</v>
      </c>
      <c r="M103" s="16" t="s">
        <v>24</v>
      </c>
      <c r="N103" s="16"/>
      <c r="O103" s="16"/>
      <c r="P103" s="16"/>
      <c r="Q103" s="16"/>
      <c r="R103" s="16"/>
      <c r="S103" s="16"/>
      <c r="T103" s="16"/>
      <c r="U103" s="16"/>
      <c r="V103" s="26"/>
      <c r="W103" s="24"/>
    </row>
    <row r="104" ht="19.8" customHeight="1" spans="1:23">
      <c r="A104" s="13"/>
      <c r="B104" s="14"/>
      <c r="C104" s="19"/>
      <c r="D104" s="16">
        <f t="shared" ref="D104:D110" si="19">ROW()-3</f>
        <v>101</v>
      </c>
      <c r="E104" s="17" t="s">
        <v>204</v>
      </c>
      <c r="F104" s="16"/>
      <c r="G104" s="18">
        <v>0</v>
      </c>
      <c r="H104" s="18">
        <f t="shared" si="13"/>
        <v>0</v>
      </c>
      <c r="I104" s="16"/>
      <c r="J104" s="18">
        <v>0</v>
      </c>
      <c r="K104" s="18">
        <f t="shared" si="14"/>
        <v>0</v>
      </c>
      <c r="L104" s="18">
        <f t="shared" si="15"/>
        <v>0</v>
      </c>
      <c r="M104" s="16" t="s">
        <v>24</v>
      </c>
      <c r="N104" s="16"/>
      <c r="O104" s="16"/>
      <c r="P104" s="16"/>
      <c r="Q104" s="16"/>
      <c r="R104" s="16"/>
      <c r="S104" s="16"/>
      <c r="T104" s="16"/>
      <c r="U104" s="16"/>
      <c r="V104" s="26"/>
      <c r="W104" s="24"/>
    </row>
    <row r="105" ht="19.8" customHeight="1" spans="1:23">
      <c r="A105" s="13"/>
      <c r="B105" s="14"/>
      <c r="C105" s="19"/>
      <c r="D105" s="16">
        <f t="shared" si="19"/>
        <v>102</v>
      </c>
      <c r="E105" s="17" t="s">
        <v>206</v>
      </c>
      <c r="F105" s="16"/>
      <c r="G105" s="18">
        <v>0</v>
      </c>
      <c r="H105" s="18">
        <f t="shared" si="13"/>
        <v>0</v>
      </c>
      <c r="I105" s="16"/>
      <c r="J105" s="18">
        <v>0</v>
      </c>
      <c r="K105" s="18">
        <f t="shared" si="14"/>
        <v>0</v>
      </c>
      <c r="L105" s="18">
        <f t="shared" si="15"/>
        <v>0</v>
      </c>
      <c r="M105" s="16" t="s">
        <v>24</v>
      </c>
      <c r="N105" s="16"/>
      <c r="O105" s="16"/>
      <c r="P105" s="16"/>
      <c r="Q105" s="16"/>
      <c r="R105" s="16"/>
      <c r="S105" s="16"/>
      <c r="T105" s="16"/>
      <c r="U105" s="16"/>
      <c r="V105" s="26"/>
      <c r="W105" s="24"/>
    </row>
    <row r="106" ht="19.8" customHeight="1" spans="1:23">
      <c r="A106" s="13"/>
      <c r="B106" s="14"/>
      <c r="C106" s="19"/>
      <c r="D106" s="16">
        <f t="shared" si="19"/>
        <v>103</v>
      </c>
      <c r="E106" s="17" t="s">
        <v>207</v>
      </c>
      <c r="F106" s="16"/>
      <c r="G106" s="18">
        <v>0</v>
      </c>
      <c r="H106" s="18">
        <f t="shared" si="13"/>
        <v>0</v>
      </c>
      <c r="I106" s="16"/>
      <c r="J106" s="18">
        <v>0</v>
      </c>
      <c r="K106" s="18">
        <f t="shared" si="14"/>
        <v>0</v>
      </c>
      <c r="L106" s="18">
        <f t="shared" si="15"/>
        <v>0</v>
      </c>
      <c r="M106" s="16" t="s">
        <v>24</v>
      </c>
      <c r="N106" s="16"/>
      <c r="O106" s="16"/>
      <c r="P106" s="16"/>
      <c r="Q106" s="16"/>
      <c r="R106" s="16"/>
      <c r="S106" s="16"/>
      <c r="T106" s="16"/>
      <c r="U106" s="16"/>
      <c r="V106" s="26"/>
      <c r="W106" s="24"/>
    </row>
    <row r="107" ht="19.8" customHeight="1" spans="1:23">
      <c r="A107" s="13"/>
      <c r="B107" s="14"/>
      <c r="C107" s="19"/>
      <c r="D107" s="16">
        <f t="shared" si="19"/>
        <v>104</v>
      </c>
      <c r="E107" s="17" t="s">
        <v>208</v>
      </c>
      <c r="F107" s="16"/>
      <c r="G107" s="18">
        <v>0</v>
      </c>
      <c r="H107" s="18">
        <f t="shared" si="13"/>
        <v>0</v>
      </c>
      <c r="I107" s="16"/>
      <c r="J107" s="18">
        <v>0</v>
      </c>
      <c r="K107" s="18">
        <f t="shared" si="14"/>
        <v>0</v>
      </c>
      <c r="L107" s="18">
        <f t="shared" si="15"/>
        <v>0</v>
      </c>
      <c r="M107" s="16" t="s">
        <v>24</v>
      </c>
      <c r="N107" s="16"/>
      <c r="O107" s="16"/>
      <c r="P107" s="16"/>
      <c r="Q107" s="16"/>
      <c r="R107" s="16"/>
      <c r="S107" s="16"/>
      <c r="T107" s="16"/>
      <c r="U107" s="16"/>
      <c r="V107" s="26"/>
      <c r="W107" s="24"/>
    </row>
    <row r="108" ht="19.8" customHeight="1" spans="1:23">
      <c r="A108" s="13"/>
      <c r="B108" s="14"/>
      <c r="C108" s="19"/>
      <c r="D108" s="16">
        <f t="shared" si="19"/>
        <v>105</v>
      </c>
      <c r="E108" s="17" t="s">
        <v>209</v>
      </c>
      <c r="F108" s="16"/>
      <c r="G108" s="18">
        <v>0</v>
      </c>
      <c r="H108" s="18">
        <f t="shared" si="13"/>
        <v>0</v>
      </c>
      <c r="I108" s="16"/>
      <c r="J108" s="18">
        <v>0</v>
      </c>
      <c r="K108" s="18">
        <f t="shared" si="14"/>
        <v>0</v>
      </c>
      <c r="L108" s="18">
        <f t="shared" si="15"/>
        <v>0</v>
      </c>
      <c r="M108" s="16" t="s">
        <v>24</v>
      </c>
      <c r="N108" s="16"/>
      <c r="O108" s="16"/>
      <c r="P108" s="16"/>
      <c r="Q108" s="16"/>
      <c r="R108" s="16"/>
      <c r="S108" s="16"/>
      <c r="T108" s="16"/>
      <c r="U108" s="16"/>
      <c r="V108" s="26"/>
      <c r="W108" s="24"/>
    </row>
    <row r="109" ht="19.8" customHeight="1" spans="1:23">
      <c r="A109" s="13"/>
      <c r="B109" s="14"/>
      <c r="C109" s="19"/>
      <c r="D109" s="16">
        <f t="shared" si="19"/>
        <v>106</v>
      </c>
      <c r="E109" s="17" t="s">
        <v>210</v>
      </c>
      <c r="F109" s="16"/>
      <c r="G109" s="18">
        <v>0</v>
      </c>
      <c r="H109" s="18">
        <f t="shared" si="13"/>
        <v>0</v>
      </c>
      <c r="I109" s="16"/>
      <c r="J109" s="18">
        <v>0</v>
      </c>
      <c r="K109" s="18">
        <f t="shared" si="14"/>
        <v>0</v>
      </c>
      <c r="L109" s="18">
        <f t="shared" si="15"/>
        <v>0</v>
      </c>
      <c r="M109" s="16" t="s">
        <v>24</v>
      </c>
      <c r="N109" s="16"/>
      <c r="O109" s="16"/>
      <c r="P109" s="16"/>
      <c r="Q109" s="16"/>
      <c r="R109" s="16"/>
      <c r="S109" s="16"/>
      <c r="T109" s="16"/>
      <c r="U109" s="16"/>
      <c r="V109" s="26"/>
      <c r="W109" s="24"/>
    </row>
    <row r="110" ht="19.8" customHeight="1" spans="1:23">
      <c r="A110" s="13"/>
      <c r="B110" s="14"/>
      <c r="C110" s="19"/>
      <c r="D110" s="16">
        <f t="shared" si="19"/>
        <v>107</v>
      </c>
      <c r="E110" s="17" t="s">
        <v>211</v>
      </c>
      <c r="F110" s="16"/>
      <c r="G110" s="18">
        <v>0</v>
      </c>
      <c r="H110" s="18">
        <f t="shared" si="13"/>
        <v>0</v>
      </c>
      <c r="I110" s="16"/>
      <c r="J110" s="18">
        <v>0</v>
      </c>
      <c r="K110" s="18">
        <f t="shared" si="14"/>
        <v>0</v>
      </c>
      <c r="L110" s="18">
        <f t="shared" si="15"/>
        <v>0</v>
      </c>
      <c r="M110" s="16" t="s">
        <v>24</v>
      </c>
      <c r="N110" s="16"/>
      <c r="O110" s="16"/>
      <c r="P110" s="16"/>
      <c r="Q110" s="16"/>
      <c r="R110" s="16"/>
      <c r="S110" s="16"/>
      <c r="T110" s="16"/>
      <c r="U110" s="16"/>
      <c r="V110" s="26"/>
      <c r="W110" s="24"/>
    </row>
    <row r="111" s="2" customFormat="1" ht="35" customHeight="1" spans="1:25">
      <c r="A111" s="29"/>
      <c r="B111" s="30" t="s">
        <v>212</v>
      </c>
      <c r="C111" s="31"/>
      <c r="D111" s="31"/>
      <c r="E111" s="31"/>
      <c r="F111" s="31"/>
      <c r="G111" s="31"/>
      <c r="H111" s="32">
        <f>SUM(H4:H110)</f>
        <v>18000</v>
      </c>
      <c r="I111" s="31"/>
      <c r="J111" s="31"/>
      <c r="K111" s="32">
        <f>SUM(K4:K110)</f>
        <v>8000</v>
      </c>
      <c r="L111" s="32">
        <f>SUM(L4:L110)</f>
        <v>10000</v>
      </c>
      <c r="M111" s="31"/>
      <c r="N111" s="31"/>
      <c r="O111" s="31"/>
      <c r="P111" s="31"/>
      <c r="Q111" s="31"/>
      <c r="R111" s="31"/>
      <c r="S111" s="31"/>
      <c r="T111" s="31"/>
      <c r="U111" s="31"/>
      <c r="V111" s="36"/>
      <c r="W111" s="37"/>
      <c r="Y111" s="39"/>
    </row>
    <row r="112" spans="1:23">
      <c r="A112" s="13"/>
      <c r="W112" s="24"/>
    </row>
    <row r="113" spans="1:23">
      <c r="A113" s="33"/>
      <c r="B113" s="34"/>
      <c r="C113" s="34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8"/>
      <c r="W113" s="24"/>
    </row>
  </sheetData>
  <mergeCells count="41">
    <mergeCell ref="F2:H2"/>
    <mergeCell ref="I2:K2"/>
    <mergeCell ref="N2:U2"/>
    <mergeCell ref="A2:A3"/>
    <mergeCell ref="B2:B3"/>
    <mergeCell ref="B4:B17"/>
    <mergeCell ref="B18:B19"/>
    <mergeCell ref="B20:B23"/>
    <mergeCell ref="B24:B49"/>
    <mergeCell ref="B50:B59"/>
    <mergeCell ref="B60:B65"/>
    <mergeCell ref="B66:B71"/>
    <mergeCell ref="B72:B76"/>
    <mergeCell ref="B77:B110"/>
    <mergeCell ref="C2:C3"/>
    <mergeCell ref="C4:C7"/>
    <mergeCell ref="C8:C14"/>
    <mergeCell ref="C15:C17"/>
    <mergeCell ref="C20:C23"/>
    <mergeCell ref="C24:C26"/>
    <mergeCell ref="C27:C30"/>
    <mergeCell ref="C31:C33"/>
    <mergeCell ref="C34:C35"/>
    <mergeCell ref="C38:C40"/>
    <mergeCell ref="C41:C44"/>
    <mergeCell ref="C45:C48"/>
    <mergeCell ref="C50:C52"/>
    <mergeCell ref="C53:C55"/>
    <mergeCell ref="C57:C58"/>
    <mergeCell ref="C60:C62"/>
    <mergeCell ref="C63:C65"/>
    <mergeCell ref="C66:C67"/>
    <mergeCell ref="C72:C75"/>
    <mergeCell ref="C77:C83"/>
    <mergeCell ref="C84:C102"/>
    <mergeCell ref="C103:C110"/>
    <mergeCell ref="D2:D3"/>
    <mergeCell ref="E2:E3"/>
    <mergeCell ref="L2:L3"/>
    <mergeCell ref="M2:M3"/>
    <mergeCell ref="V2:V3"/>
  </mergeCells>
  <conditionalFormatting sqref="F4:V4 F5:G16 H5:K110 L5:V16 G17:G110 L17:L110 M17:V17 F17">
    <cfRule type="expression" dxfId="1" priority="4">
      <formula>$M4="已购买"</formula>
    </cfRule>
  </conditionalFormatting>
  <conditionalFormatting sqref="M20:V110 E20:F31 E32:E83 F32:F110 M18:V18 E18:F18">
    <cfRule type="expression" dxfId="1" priority="5">
      <formula>$M18="已购买"</formula>
    </cfRule>
  </conditionalFormatting>
  <conditionalFormatting sqref="M19:V19 E19:F19">
    <cfRule type="expression" dxfId="1" priority="3">
      <formula>$M19="已购买"</formula>
    </cfRule>
  </conditionalFormatting>
  <dataValidations count="1">
    <dataValidation type="list" allowBlank="1" showInputMessage="1" showErrorMessage="1" sqref="M4:M110">
      <formula1>"已购买,未购买"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预算记账表（自动计算版）</vt:lpstr>
      <vt:lpstr>预算记账1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intsig</dc:creator>
  <cp:lastModifiedBy>吴倩华Jonathan</cp:lastModifiedBy>
  <dcterms:created xsi:type="dcterms:W3CDTF">2023-07-01T14:38:00Z</dcterms:created>
  <dcterms:modified xsi:type="dcterms:W3CDTF">2025-06-11T15:21:10Z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53C0921B23CA451FBC1B6D1B82AD76D6_13</vt:lpwstr>
  </property>
</Properties>
</file>