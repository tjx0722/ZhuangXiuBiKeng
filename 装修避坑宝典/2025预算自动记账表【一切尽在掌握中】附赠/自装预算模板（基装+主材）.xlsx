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9000"/>
  </bookViews>
  <sheets>
    <sheet name="基装" sheetId="3" r:id="rId1"/>
    <sheet name="报价表 最新" sheetId="5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基装!$A$2:$L$178</definedName>
    <definedName name="_xlnm._FilterDatabase" localSheetId="1" hidden="1">'报价表 最新'!$A$3:$F$360</definedName>
    <definedName name="_Order1">255</definedName>
    <definedName name="_Order2">255</definedName>
    <definedName name="FWS">[1]参数表!$C$2:$C$6</definedName>
    <definedName name="_xlnm.Print_Area" localSheetId="0">基装!$A$1:$L$178</definedName>
    <definedName name="_xlnm.Print_Titles" localSheetId="0">基装!$2:$2</definedName>
    <definedName name="XQ">[1]参数表!$B$2:$B$9</definedName>
    <definedName name="厨卫规格">[2]参数!$F$2:$F$11</definedName>
    <definedName name="单位用量" localSheetId="1">'[3]1-1 定额【5.0】'!$O:$O</definedName>
    <definedName name="单位用量">'[4]1-1 定额【5.0】'!$O:$O</definedName>
    <definedName name="辅材材料单价" localSheetId="1">'[3]1-1 定额【5.0】'!$S:$S</definedName>
    <definedName name="辅材材料单价">'[4]1-1 定额【5.0】'!$S:$S</definedName>
    <definedName name="辅材采购损耗率" localSheetId="1">'[3]1-1 定额【5.0】'!$P:$P</definedName>
    <definedName name="辅材采购损耗率">'[4]1-1 定额【5.0】'!$P:$P</definedName>
    <definedName name="辅材施工损耗率" localSheetId="1">'[3]1-1 定额【5.0】'!$R:$R</definedName>
    <definedName name="辅材施工损耗率">'[4]1-1 定额【5.0】'!$R:$R</definedName>
    <definedName name="辅材运输损耗率" localSheetId="1">'[3]1-1 定额【5.0】'!$Q:$Q</definedName>
    <definedName name="辅材运输损耗率">'[4]1-1 定额【5.0】'!$Q:$Q</definedName>
    <definedName name="户型">[2]参数!$G$2:$G$14</definedName>
    <definedName name="水电套餐">[2]参数!$D$2:$D$4</definedName>
    <definedName name="水电套餐品牌">[2]参数!$E$2:$E$6</definedName>
    <definedName name="状态">[2]参数!$H$2:$H$8</definedName>
  </definedNames>
  <calcPr calcId="144525"/>
</workbook>
</file>

<file path=xl/sharedStrings.xml><?xml version="1.0" encoding="utf-8"?>
<sst xmlns="http://schemas.openxmlformats.org/spreadsheetml/2006/main" count="2064" uniqueCount="846">
  <si>
    <t>工程预算清单</t>
  </si>
  <si>
    <t>项目编号：</t>
  </si>
  <si>
    <t>序号</t>
  </si>
  <si>
    <t>项目名称</t>
  </si>
  <si>
    <t>单位</t>
  </si>
  <si>
    <t>物料编码</t>
  </si>
  <si>
    <t>主材损耗率</t>
  </si>
  <si>
    <t>主材单价</t>
  </si>
  <si>
    <t>施工单价</t>
  </si>
  <si>
    <t>工程量</t>
  </si>
  <si>
    <t>小计</t>
  </si>
  <si>
    <t>计算规则</t>
  </si>
  <si>
    <t>项目特征描述</t>
  </si>
  <si>
    <t>一</t>
  </si>
  <si>
    <t>墙体拆除（120墙）</t>
  </si>
  <si>
    <t>墙体拆除（240墙）</t>
  </si>
  <si>
    <t>拆除保温层</t>
  </si>
  <si>
    <t>拆除外墙砖</t>
  </si>
  <si>
    <t>拆除室外/室内混凝土楼梯</t>
  </si>
  <si>
    <t>门窗、栏杆拆除</t>
  </si>
  <si>
    <t>新建60墙（红砖）</t>
  </si>
  <si>
    <t>新建120墙（红砖）</t>
  </si>
  <si>
    <t>平米</t>
  </si>
  <si>
    <t>新建120弧形墙（红砖）</t>
  </si>
  <si>
    <t>新建240墙（红砖）</t>
  </si>
  <si>
    <t>门窗洞修补（水泥砂浆）</t>
  </si>
  <si>
    <t>新建单边门垛（200mm宽以内）</t>
  </si>
  <si>
    <t>新建壁龛</t>
  </si>
  <si>
    <t>门过梁施工（1.2米）</t>
  </si>
  <si>
    <t>门过梁施工（2米）</t>
  </si>
  <si>
    <t>门钢架过梁施工（3米）</t>
  </si>
  <si>
    <t>门套木基层</t>
  </si>
  <si>
    <t>双排钢架隔墙（暗藏式门基层含双面封板）</t>
  </si>
  <si>
    <t>空鼓拆除及修复</t>
  </si>
  <si>
    <t>二</t>
  </si>
  <si>
    <t>别墅水电全改（进口PPR）</t>
  </si>
  <si>
    <t>三</t>
  </si>
  <si>
    <t>陶粒回填+保护层</t>
  </si>
  <si>
    <t>水泥砂浆精找平</t>
  </si>
  <si>
    <t>实木地板安装</t>
  </si>
  <si>
    <t>踢脚线安装</t>
  </si>
  <si>
    <t>地板收口条</t>
  </si>
  <si>
    <t>根</t>
  </si>
  <si>
    <t>按根数计算</t>
  </si>
  <si>
    <t>墙面石膏腻子顺平处理(干区)</t>
  </si>
  <si>
    <t>乳胶漆喷涂</t>
  </si>
  <si>
    <t>纯净520A+竹炭抗菌五合一（喷涂）</t>
  </si>
  <si>
    <t>窗台石安装</t>
  </si>
  <si>
    <t>轻钢龙骨单层石膏板吊顶（边顶）</t>
  </si>
  <si>
    <t>吊顶眉线</t>
  </si>
  <si>
    <t>窗帘盒</t>
  </si>
  <si>
    <t>开设备孔（空调/浴霸/暖风机）</t>
  </si>
  <si>
    <t>顶面石膏腻子顺平处理（干区）</t>
  </si>
  <si>
    <t>纯净520防霉防潮三合一环保内墙漆</t>
  </si>
  <si>
    <t>平开门（含门套、门、五金）</t>
  </si>
  <si>
    <t>M2平开门</t>
  </si>
  <si>
    <t>四</t>
  </si>
  <si>
    <t>收口条</t>
  </si>
  <si>
    <t>门槛石安装</t>
  </si>
  <si>
    <t>丝绸艺术漆：010601-0003</t>
  </si>
  <si>
    <t>轻钢龙骨单层石膏板吊顶（平顶）</t>
  </si>
  <si>
    <t>隔断玻璃移门（主卧门厅）</t>
  </si>
  <si>
    <t>按展开面积计算</t>
  </si>
  <si>
    <t>隔断玻璃移门（书房）</t>
  </si>
  <si>
    <t>米</t>
  </si>
  <si>
    <t>CLEAF饰面-隐藏移门，不带锁</t>
  </si>
  <si>
    <t>樘</t>
  </si>
  <si>
    <t>按门数计算</t>
  </si>
  <si>
    <t>五</t>
  </si>
  <si>
    <t>六</t>
  </si>
  <si>
    <t>防水</t>
  </si>
  <si>
    <t>防水保护层</t>
  </si>
  <si>
    <t>水泥河沙贴地砖（单边≤800mm）</t>
  </si>
  <si>
    <t>瓷砖填缝升级美缝（卓高）</t>
  </si>
  <si>
    <t>水泥河沙贴墙砖（单边≤800mm）</t>
  </si>
  <si>
    <t>轻钢龙骨单层防潮石膏板吊顶（平顶）</t>
  </si>
  <si>
    <t>检修口</t>
  </si>
  <si>
    <t>顶面石膏腻子顺平处理（湿区）</t>
  </si>
  <si>
    <t>淋浴房</t>
  </si>
  <si>
    <t>卫浴柜</t>
  </si>
  <si>
    <t>项</t>
  </si>
  <si>
    <t>马桶</t>
  </si>
  <si>
    <t>套</t>
  </si>
  <si>
    <t>怡和</t>
  </si>
  <si>
    <t>按套数计算</t>
  </si>
  <si>
    <t>成品安装</t>
  </si>
  <si>
    <t>花洒安装</t>
  </si>
  <si>
    <t>科勒</t>
  </si>
  <si>
    <t>面盆</t>
  </si>
  <si>
    <t>面盆龙头</t>
  </si>
  <si>
    <t>卫浴镜</t>
  </si>
  <si>
    <t>地漏</t>
  </si>
  <si>
    <t>个</t>
  </si>
  <si>
    <t>风暖安装</t>
  </si>
  <si>
    <t>七</t>
  </si>
  <si>
    <t>八</t>
  </si>
  <si>
    <t>九</t>
  </si>
  <si>
    <t>成品保护、铲墙皮、刷墙地固</t>
  </si>
  <si>
    <t>开荒保洁</t>
  </si>
  <si>
    <t>辅材运输费</t>
  </si>
  <si>
    <t>室内垃圾清理，现场5S</t>
  </si>
  <si>
    <t>精保洁</t>
  </si>
  <si>
    <t>无电梯建渣上下楼搬运费（搬运1层）</t>
  </si>
  <si>
    <t>无电梯材料上楼搬运费</t>
  </si>
  <si>
    <t>建渣外运（混合建渣）</t>
  </si>
  <si>
    <t>建渣转运</t>
  </si>
  <si>
    <t>超高施工脚手架及安全措施费（层高5米以内）</t>
  </si>
  <si>
    <t>超高施工（全屋超高）</t>
  </si>
  <si>
    <t>远程施工费（I类区域）</t>
  </si>
  <si>
    <t>硬保护</t>
  </si>
  <si>
    <t>十</t>
  </si>
  <si>
    <t>十一</t>
  </si>
  <si>
    <t>十二</t>
  </si>
  <si>
    <t>十三</t>
  </si>
  <si>
    <t>备注：</t>
  </si>
  <si>
    <t>施工内容</t>
  </si>
  <si>
    <t>售价</t>
  </si>
  <si>
    <t>定额组编码</t>
  </si>
  <si>
    <t>工艺标准</t>
  </si>
  <si>
    <t>成品保护+安全防护</t>
  </si>
  <si>
    <t>按合同面积计算</t>
  </si>
  <si>
    <t>成品保护包含入场检查，电梯厅、走廊、过道、门窗、气表、水表、烟感、可视电话等的保护，包含挂安全网及其他辅材综合考虑</t>
  </si>
  <si>
    <t>1.成品保护工艺：清扫墙地面→喜鹊字样胶带固定保护膜（电梯间膜、门窗保护膜、燃气表保护罩）→强弱电箱保护→施工自检；
合格标准：电梯、电梯厅、走廊、门窗、天然气表、强弱电箱等粘贴保护，要求平整方正，方向正确，且无翘脚；
2.安全防护工艺：关闭水电总闸→更换水龙头→接临时电箱→接临时照明→挂阳台安全网防护→施工自检；
合格标准：临时水电做好防漏防渗保护，安全网无漏洞或破损，安全网固定在安全挂钩上，无漏挂，安全网牢固无松动现象。</t>
  </si>
  <si>
    <t>包管道隔音棉</t>
  </si>
  <si>
    <t>排水管包隔音棉、扎带</t>
  </si>
  <si>
    <t>1.包管工艺：主给排水管道（含天花顶部的存水弯）隔音棉包裹→施工自检。</t>
  </si>
  <si>
    <t>安全防护</t>
  </si>
  <si>
    <t>1.安全网种类、规格：安全网
2.其他辅材综合考虑</t>
  </si>
  <si>
    <t>1.安全防护工艺：关闭水电总闸→更换水龙头→接临时电箱→接临时照明→挂阳台安全网防护→施工自检；
2.合格标准：临时水电做好防漏防渗保护，安全网无漏洞或破损，安全网固定在安全挂钩上，无漏挂，安全网牢固无松动现象。</t>
  </si>
  <si>
    <t>按施工面积计算，最低收费400元</t>
  </si>
  <si>
    <t>施工区域及施工涉及到的活动区域地面3mm中纤板保护，地板区域的地面需做硬保护</t>
  </si>
  <si>
    <t>按物业或客户要求进行现场保护</t>
  </si>
  <si>
    <t>铲墙皮</t>
  </si>
  <si>
    <t>包含原墙面顶面乳胶漆及基层的铲除、清理建渣等</t>
  </si>
  <si>
    <t>1.铲墙皮工艺：断水断电→接通临水临电→喷水枪湿润墙面反复3次→铲刀铲除白灰→施工自检；（不含保温层、外墙砖等的拆除）
2.合格标准：白灰剔除干净，能看见水泥基层，墙面剔除达率到95%以上。</t>
  </si>
  <si>
    <t>涂刷墙地固</t>
  </si>
  <si>
    <t>滚刷墙地固</t>
  </si>
  <si>
    <t>1.刷墙地固工艺：清扫地面墙面→安全防范→准备喷涂工具→墙地面全部喷涂→细部涂刷修补→地面涂刷延墙面往上100mm→施工自检；
2.合格标准：顶面、墙面、地面满涂墙地固，角落位置涂刷到位，涂刷均匀无漏涂。</t>
  </si>
  <si>
    <t>精放线</t>
  </si>
  <si>
    <t>放水平线、中轴线、规方线、完成面线、吊顶线、新建墙体线、门洞定位线、点位线等</t>
  </si>
  <si>
    <t>1.精放线标准：包含施工工具准备、放水平线、中轴线、完成面线、吊顶线、新建墙体线、门洞定位线、点位喷漆等。</t>
  </si>
  <si>
    <t>1.成品保护包含入场检查，电梯厅、走廊、过道、门窗、气表、水表、烟感、可视电话等的保护，管道包隔音棉处理，安全防护
2.铲墙皮（包含墙面和顶面）
3.墙地顶面涂刷界面剂
4.临水临电及精放线等施工准备工作</t>
  </si>
  <si>
    <t>1.成品保护工艺：清扫墙地面→喜鹊字样胶带固定保护膜（电梯间膜、门窗保护膜、燃气表保护罩）→主给排水管道（含天花顶部的存水弯）隔音棉包裹→强弱电箱保护→施工自检；
合格标准：电梯、电梯厅、走廊、门窗、天然气表、强弱电箱等粘贴保护，要求平整方正，方向正确，且无翘脚；
2.安全防护工艺：关闭水电总闸→更换水龙头→接临时电箱→接临时照明→挂阳台安全网防护→施工自检；
合格标准：临时水电做好防漏防渗保护，安全网无漏洞或破损，安全网固定在安全挂钩上，无漏挂，安全网牢固无松动现象；
3.铲墙皮工艺：断水断电→接通临水临电→喷水枪湿润墙面反复3次→铲刀铲除白灰→施工自检；（不含保温层、外墙砖等的拆除）
合格标准：白灰剔除干净，能看见水泥基层，墙面剔除达率到95%以上；
4.刷墙地固工艺：清扫地面墙面→安全防范→准备喷涂工具→墙地面全部喷涂→细部涂刷修补→地面涂刷延墙面往上100mm→施工自检；
合格标准：顶面、墙面、地面满涂墙地固，角落位置涂刷到位，涂刷均匀无漏涂；
5.精放线标准：包含施工工具准备、放水平线、中轴线、完成面线、吊顶线、新建墙体线、门洞定位线、点位喷漆等。</t>
  </si>
  <si>
    <t>成品保护、刷墙地固</t>
  </si>
  <si>
    <t>1.成品保护包含入场检查，电梯厅、走廊、过道、门窗、气表、水表、烟感、可视电话等的保护，管道包隔音棉处理，安全防护
2.墙地顶面刷界面剂
3.临水临电及精放线等施工准备工作</t>
  </si>
  <si>
    <t>1.成品保护工艺：清扫墙地面→喜鹊字样胶带固定保护膜（电梯间膜、门窗保护膜、燃气表保护罩）→主给排水管道（含天花顶部的存水弯）隔音棉包裹→强弱电箱保护→施工自检；
合格标准：电梯、电梯厅、走廊、门窗、天然气表、强弱电箱等粘贴保护，要求平整方正，方向正确，且无翘脚；
2.安全防护工艺：关闭水电总闸→更换水龙头→接临时电箱→接临时照明→挂阳台安全网防护→施工自检；
合格标准：临时水电做好防漏防渗保护，安全网无漏洞或破损，安全网固定在安全挂钩上，无漏挂，安全网牢固无松动现象；
3.刷墙地固工艺：清扫地面墙面→安全防范→准备喷涂工具→墙地面全部喷涂→细部涂刷修补→地面涂刷延墙面往上100mm→施工自检
合格标准：顶面、墙面、地面满涂墙地固，角落位置涂刷到位，涂刷均匀无漏涂；
4.精放线标准：包含施工工具准备、放水平线、中轴线、完成面线、吊顶线、新建墙体线、门洞定位线、点位喷漆等。</t>
  </si>
  <si>
    <t>按拆除面积计算，厚度超出部分按比例折算</t>
  </si>
  <si>
    <t>拆除120墙体</t>
  </si>
  <si>
    <t>1.工艺：核对图纸→放线定位→根据拆除线使用切割机切割后拆除→建渣装袋→清理现场→施工自检；
2.合格标准：打拆前用角磨机先进行切割(防止二次空鼓)；拆除彻底，不残留不遗漏；现场垃圾清理干净，5S维护。</t>
  </si>
  <si>
    <t>拆除240墙体</t>
  </si>
  <si>
    <t>按拆除面积计算</t>
  </si>
  <si>
    <t>拆除保温层或外墙漆</t>
  </si>
  <si>
    <t>1.工艺：核对图纸→放线定位→（人工+机械）拆除→建渣装袋→清理现场→施工自检；
2.合格标准：打拆前用角磨机先进行切割(防止二次空鼓)；拆除彻底，不残留不遗漏；现场垃圾清理干净，5S维护。</t>
  </si>
  <si>
    <t>拆除保温层（带钢丝网）</t>
  </si>
  <si>
    <t>拆除混凝土墙及飘窗台</t>
  </si>
  <si>
    <t>按拆除面积计算，飘窗台按展开面积计算，不足1平米按1平米计算</t>
  </si>
  <si>
    <t>拆除混凝土墙或飘窗台，需客户签署免责协议，并需客户取得物业的签字同意</t>
  </si>
  <si>
    <t>1.工艺：核对图纸→放线定位→（人工+机械）拆除→建渣装袋→清理现场→施工自检；
2.合格标准：拆除彻底，不残留不遗漏；现场垃圾清理干净，5S维护；
3.其他说明：飘窗、构造柱、现浇楼板地面、钢筋混凝土地梁、外墙等关系到房屋结构安全的部分不允许拆除，如业主有特殊打拆需求且无法调节的另行协商解决；
4.此项需客户签署免责协议，并需客户取得物业的签字同意。</t>
  </si>
  <si>
    <t>拆除混凝土梁、柱</t>
  </si>
  <si>
    <t>拆除钢筋混凝土地梁、二次结构的构造柱等（不包含主体结构、承重结构、外立面结构）</t>
  </si>
  <si>
    <t>1.工艺：核对图纸→放线定位→（人工+机械）拆除→建渣装袋→清理现场→施工自检；
2.合格标准：拆除彻底，不残留不遗漏；现场垃圾清理干净，5S维护。
3.其他说明：飘窗、构造柱、现浇楼板地面、钢筋混凝土地梁、外墙等关系到房屋结构安全的部分不允许拆除，如业主有特殊打拆需求且无法调节的另行协商解决。</t>
  </si>
  <si>
    <t>步</t>
  </si>
  <si>
    <t>按踏步数计算</t>
  </si>
  <si>
    <t>包含室外/室内楼梯拆除、现场清理</t>
  </si>
  <si>
    <t>拆除钢结构楼梯</t>
  </si>
  <si>
    <t>跨</t>
  </si>
  <si>
    <t>按跨数计算，一到二层为一跨</t>
  </si>
  <si>
    <t>包含楼梯拆除、现场清理</t>
  </si>
  <si>
    <t>挖掘卫生间回填层</t>
  </si>
  <si>
    <t>按地面面积计算</t>
  </si>
  <si>
    <t>包含面层地砖及回填层拆除、清理、建渣清运输至物业指定的建渣堆放点</t>
  </si>
  <si>
    <t>1.工艺：核对图纸→放线定位→（人工+机械）拆除→建渣装袋→清理现场→施工自检；
2.合格标准：拆除彻底，不残留不遗漏；现场垃圾清理干净，5S维护。</t>
  </si>
  <si>
    <t>1.按拆除米数计算
2.最低收费2米
3.客户不要的工人自行处理，不予收费</t>
  </si>
  <si>
    <t>拆除门、门套及门套基层，拆除防护栏杆</t>
  </si>
  <si>
    <t>铲除外墙漆</t>
  </si>
  <si>
    <t>包含拆除外前漆及基层，不含建筑外立面的施工</t>
  </si>
  <si>
    <t>扩大门洞(含过梁)</t>
  </si>
  <si>
    <t>按拆除个数计算</t>
  </si>
  <si>
    <t>200mm以内的门洞扩宽，包含墙面切割拆除，含过梁的拆除</t>
  </si>
  <si>
    <t>扩大门洞(不含过梁)</t>
  </si>
  <si>
    <t>100mm以内的门洞扩宽，包含墙面切割拆除，不含过梁</t>
  </si>
  <si>
    <t>拆除二手房地砖（含抹灰层）</t>
  </si>
  <si>
    <t>按拆除面积计算
指阳台等墙面砖，不含建筑外立面墙砖的拆除
(抹灰层厚度30mm以内，超出部分每增加10mm厚增加15元/平米)</t>
  </si>
  <si>
    <t>拆除外墙砖或水泥砂浆抹灰层</t>
  </si>
  <si>
    <t>拆除吊顶</t>
  </si>
  <si>
    <t>包含吊筋、龙骨、石膏板等拆除及垃圾清运至物业指定地点</t>
  </si>
  <si>
    <t>铲除乳胶漆/墙纸及基层</t>
  </si>
  <si>
    <t>铲除墙面墙纸及基层</t>
  </si>
  <si>
    <t>按新建面积计算</t>
  </si>
  <si>
    <t>包含铲墙皮、植筋、墙体砌筑、新旧墙体交接处挂网、墙面抹灰</t>
  </si>
  <si>
    <t>1.工艺：定位放线→砂浆制拌→砌砖→勾缝、清理→墙面抹灰→施工自检（依据GB50203-2011《砌体工程施工质量验收规范》）
2.合格标准：墙体砖必须错缝1/3修砌、墙体底部以原始地面为基准线砌3层实心砖打底、如湿区墙体在沉箱内的则实心砖打底平齐客厅地面后再往上做3层实心砖、距离顶面80mm-150mm做斜砖蜈蚣脚、墙体间隔500mm做植筋、新旧墙面交界处做挂网处理（网面宽度150mm-200mm）、墙面平整垂直度≤4mm；</t>
  </si>
  <si>
    <t>按新建面积计算
主要用于厨卫、生活阳台及承重区域</t>
  </si>
  <si>
    <t>新建360墙（红砖）</t>
  </si>
  <si>
    <t>新建60墙（多孔砖）</t>
  </si>
  <si>
    <t>新建120墙（多孔砖）</t>
  </si>
  <si>
    <t>按新建面积计算
主要用于厨卫、生活阳台及非承重区域</t>
  </si>
  <si>
    <t>新建240墙（多孔砖）</t>
  </si>
  <si>
    <t>新建360墙（多孔砖）</t>
  </si>
  <si>
    <t>新建60墙（轻质砖）</t>
  </si>
  <si>
    <t>新建120墙（轻质砖）</t>
  </si>
  <si>
    <t>按新建面积计算
主要用于厨卫及生活阳台以外的非承重区域</t>
  </si>
  <si>
    <t>新建240墙（轻质砖）</t>
  </si>
  <si>
    <t>新建360墙（轻质砖）</t>
  </si>
  <si>
    <t>按个数计算</t>
  </si>
  <si>
    <t>包含植筋、墙体砌筑、新旧墙体交接处挂网</t>
  </si>
  <si>
    <t>水泥砂浆抹灰修补，适用于打拆后的门窗洞修补，不含过梁</t>
  </si>
  <si>
    <t>1.工艺：定位放线→砂浆制拌→砌砖（多孔砖、实心砖、空心砖、加气砖等）→勾缝、清理→施工自检（依据GB50203-2011《砌体工程施工质量验收规范》）
2.合格标准：墙体砖必须错缝1/3修砌、墙体底部以原始地面为基准线砌3层实心砖打底、如湿区墙体在沉箱内的则实心砖打底平齐客厅地面后再往上做3层实心砖、距离顶面80mm-150mm做斜砖蜈蚣脚、墙体间隔500mm做植筋、新旧墙面交界处做挂网处理（网面宽度150mm-200mm）、修补后垂直度误差≤5mm。</t>
  </si>
  <si>
    <t>断面修补</t>
  </si>
  <si>
    <t>按延长米数计算</t>
  </si>
  <si>
    <t>按根数计算，墙厚140mm以内的墙使用1根，墙厚&gt;140mm的墙使用2根</t>
  </si>
  <si>
    <t>门洞宽900mm以内</t>
  </si>
  <si>
    <t>1.测量定位→成品过梁安装→水泥砂浆固定→施工自检；
2.合格标准：过梁嵌入墙体两侧分别至少100mm。</t>
  </si>
  <si>
    <t>门过梁施工（1.5米）</t>
  </si>
  <si>
    <t>门洞宽1200mm以内</t>
  </si>
  <si>
    <t>门洞宽1600mm以内</t>
  </si>
  <si>
    <t>门洞宽度大于2米小于2.6米的</t>
  </si>
  <si>
    <t>1.测量定位→L角钢架过梁安装→固定→施工自检；
2.合格标准：过梁嵌入墙体两侧分别至少100mm。</t>
  </si>
  <si>
    <t>单处空鼓面积小于1㎡按1㎡计算，大于1㎡按实际面积计算</t>
  </si>
  <si>
    <t>空鼓拆除及修复处理等</t>
  </si>
  <si>
    <t>1.工艺：切割机切割墙皮→剔除抹灰面层→水泥砂浆粗找平→施工自检；
2.合格标准：割墙皮应横平竖直切（防止引发周边墙皮松动空鼓）、剔除抹灰层至砖体，要求抹灰层剔除干净能看见砖墙基层，墙面剔除达率到95%以上；现场垃圾清理干净，5S维护，修复完成后墙面抹灰垂直度≤3mm，平整度≤4mm。</t>
  </si>
  <si>
    <t>原建筑补烂修复</t>
  </si>
  <si>
    <t>按施工面积计算</t>
  </si>
  <si>
    <t>打拆之后的门窗洞及墙地面用水泥砂浆抹平，或剔除最高点后修复处理等</t>
  </si>
  <si>
    <t>1.工艺：
湿区空鼓修复：在墙面标注需剔除空鼓的位置→切割拆除→涂刷瓷砖胶→水泥砂浆找平修复→现场清理→施工自检；
干区空鼓修复：在墙面标注需剔除空鼓的位置→切割拆除→涂刷界面剂→石膏找平修复→现场清理→施工自检；
2.合格标准：完成面平整度标准≤2mm。</t>
  </si>
  <si>
    <t>格</t>
  </si>
  <si>
    <t>包含墙体砌筑、新旧墙体交接处挂网</t>
  </si>
  <si>
    <t>浴缸基座（砌体）</t>
  </si>
  <si>
    <t>2米以内按个数计算
超出部分按150元/10cm计算</t>
  </si>
  <si>
    <t>新建浴缸基座+抹灰+涂刷防水涂料+预留检修口（面材的主材和施工单独计算，不含浴缸的供应安装）</t>
  </si>
  <si>
    <t>1.工艺：定位放线→砂浆制拌→砌砖→抹灰→防水→现场清理→施工自检；
2.合格标准：符合施工图要求，预留检修口。</t>
  </si>
  <si>
    <t>浴缸基座（钢架）</t>
  </si>
  <si>
    <t>2米以内按个数计算
超出部分按200元/10cm计算</t>
  </si>
  <si>
    <t>焊接浴缸钢架基座+涂刷防锈漆+涂刷防水涂料+预留检修口（面材的主材和施工单独计算，不含浴缸的供应安装）</t>
  </si>
  <si>
    <t>1.工艺：定位放线→钢管裁切、焊接→自攻螺丝封板→涂刷防锈漆→预留检修口→现场清理→施工自检；
2.合格标准：符合施工图要求，预留检修口。</t>
  </si>
  <si>
    <t>浴缸基座及安装（三面靠墙）</t>
  </si>
  <si>
    <t>2米以内按个数计算
超出部分按300元/10cm计算</t>
  </si>
  <si>
    <t>砌砖墙+抹灰+检修口+贴石材（标配石材）+人工+浴缸安装（不含浴缸的供应）</t>
  </si>
  <si>
    <t>1.工艺：定位放线→钢管裁切、焊接→自攻螺丝封板→涂刷防锈漆→预留检修口→瓷砖或石材饰面施工→浴缸安装→现场清理→施工自检；
2.合格标准：符合施工图要求，预留检修口，墙面垂直度≤2mm，平整度≤3mm，浴缸安装水平，浴缸与墙面交界处用半透明胶打胶处理，打胶均匀美观，浴缸满水试验无漏水现象。</t>
  </si>
  <si>
    <t>浴缸基座及安装（两面靠墙）</t>
  </si>
  <si>
    <t>2米以内按个数计算
超出部分按400元/10cm计算</t>
  </si>
  <si>
    <t>平层水电半改（PPR)</t>
  </si>
  <si>
    <t>按合同面积计算，超出标准部分，费用计算规则详见《水电计价标准》</t>
  </si>
  <si>
    <t>包含开槽、开孔、强弱电改造、空开关调试、给排水改造、通水通电测试等</t>
  </si>
  <si>
    <t>1.施工工艺：
开槽开孔：定位→开剔槽→机械开孔→清理→线槽清扫→涂刷界面剂→水泥砂浆或石膏补槽（潮湿位置必须使用水泥砂浆）→表面粘贴专用玻纤网抗裂；
强电改造：定位→PVC塑料线管加工→管道插接固定→穿塑铜线→绝缘导通检验；
弱电改造：定位→PVC塑料线管加工→固定连接→穿单根超五类网络线、光纤线、音箱线、可视线→导通检验；
强弱电箱：空气开关调试、强强弱电线路嵌入箱体；
给水管改造：定位→PP-R管道加工裁切→热熔连接固定→压力测试；
排水管改造：定位→PVC管道加工裁切→连接固定→通排测试。
2.合格标准：管线走向横平竖直，转角处走圆弧弯或S弯。
3.材料包含：阻燃电线、PVC线管、PPR给水管、PVC排水管、底盒等。</t>
  </si>
  <si>
    <t>复式水电半改（PPR)</t>
  </si>
  <si>
    <t>1.施工工艺：
开槽开孔：定位→开剔槽→机械开孔→清理→线槽清扫→涂刷界面剂→水泥砂浆或石膏补槽（潮湿位置必须使用水泥砂浆）→表面粘贴专用玻纤网抗裂；
强电改造：定位→PVC塑料线管加工→管道插接固定→穿塑铜线→更换空开→绝缘导通检验；
弱电改造：定位→PVC塑料线管加工→固定连接→穿单根超五类网络线、光纤线、音箱线、可视线→导通检验；
强弱电箱：空气开关调试、强弱电线路嵌入箱体；
德国TECE给水系统：定位→墙面开槽机顺直线切割开槽→顶面打孔穿管→管路排管一管到底无接头→管路施工走天→厨卫顶面做冷热水分水器→管口采用插接方式施工→压力测试；
排水管改造：定位→PVC管道加工裁切→连接固定→通排测试。
2.合格标准：管线走向横平竖直，转角处走圆弧弯或S弯。
3.材料包含：阻燃电线、PVC线管、PPR给水管、进口TECE一管到底给水管、分集水器、专用管件、PVC排水管、底盒等。</t>
  </si>
  <si>
    <t>平层水电全改（PPR）</t>
  </si>
  <si>
    <t>1.施工工艺：
开槽开孔：定位放线→开剔槽→机械开孔→清理→线槽清扫→水泥砂浆或石膏补槽（潮湿位置必须使用水泥砂浆）→表面粘贴专用玻纤网抗裂。
强电改造：定位→PVC塑料线管加工→管道插接固定→穿塑铜线→并头→烫锡→缠绕PVC绝缘胶带和绝缘胶布→更换空开→绝缘导通检验。
弱电改造：定位→PVC塑料线管加工→固定连接→穿单根超五类网络线、光纤线、音箱线、可视线→导通检验。
强弱电箱移位：人工进行测量定位→弹线→机械开孔→设置过梁→强弱电箱安装→空气开关安装调试、强弱电线路嵌入箱体
给水管改造：定位→PP-R管道加工裁切→热熔连接固定→压力测试
排水管改造：定位→PVC管道加工裁切→连接固定→通排测试，沉箱内必须做暗漏。
2.合格标准：管线走向横平竖直，转角处走圆弧弯或S弯。 
3.材料包含：阻燃电线、PVC线管、PPR给水管、PVC排水管、底盒等；</t>
  </si>
  <si>
    <t>复式水电全改（PPR）</t>
  </si>
  <si>
    <t>别墅水电全改（PPR）</t>
  </si>
  <si>
    <t>1.施工工艺：
开槽开孔：定位放线→开剔槽→机械开孔→清理→线槽清扫→水泥砂浆或石膏补槽（潮湿位置必须使用水泥砂浆）→表面粘贴专用玻纤网抗裂。
强电改造：定位→PVC塑料线管加工→管道插接固定→穿塑铜线→并头→烫锡→缠绕PVC绝缘胶带和绝缘胶布→更换空开→绝缘导通检验。
弱电改造：定位→PVC塑料线管加工→固定连接→穿单根超五类网络线、光纤线、音箱线、可视线→导通检验。
强弱电箱移位：人工进行测量定位→弹线→机械开孔→设置过梁→强弱电箱安装→空气开关安装调试、强弱电线路嵌入箱体
给水管改造：定位→PP-R管道加工裁切→热熔连接固定→压力测试
排水管改造：定位→PVC管道加工裁切→连接固定→通排测试，沉箱内必须做暗漏。
2.合格标准：管线走向横平竖直，转角处走圆弧弯或S弯。
3.材料包含：阻燃电线、PVC线管、PPR给水管、PVC排水管、底盒等；</t>
  </si>
  <si>
    <t>平层水电全改（进口PPR）</t>
  </si>
  <si>
    <t>复式水电全改（进口PPR）</t>
  </si>
  <si>
    <t>平层水电全改（进口一管到底）</t>
  </si>
  <si>
    <t>复式水电全改（进口一管到底）</t>
  </si>
  <si>
    <t>别墅水电全改（进口一管到底）</t>
  </si>
  <si>
    <t>普通智能开关线路</t>
  </si>
  <si>
    <t>每个开关单独走零线</t>
  </si>
  <si>
    <t>1.线路规格型号及走向与图纸一致
2.线管座卡间距800-1000mm
3.线管敷设横平竖直
4.强弱电线管间距≥150mm</t>
  </si>
  <si>
    <t>总线智能控制线路</t>
  </si>
  <si>
    <t>按合同面积计算（不含专用的弱电控制线）</t>
  </si>
  <si>
    <t>每组灯具单独走线至智能控制箱，每个开关单独走线至控制箱，专用的弱电控制线（开关控制线）客户提供</t>
  </si>
  <si>
    <t>强弱电排线走天花</t>
  </si>
  <si>
    <t>适用于因开发商原始建筑原因地面无法开槽的项目</t>
  </si>
  <si>
    <t>增加照明点位</t>
  </si>
  <si>
    <t>按点位数计算</t>
  </si>
  <si>
    <t>不含灯具</t>
  </si>
  <si>
    <t>施工完成后，对线路进行绝缘电阻测试和通电测试，保证线路无漏电、短路情况</t>
  </si>
  <si>
    <t>增加壁灯电源</t>
  </si>
  <si>
    <t>增加踏步灯电源</t>
  </si>
  <si>
    <t>增加小夜灯点位</t>
  </si>
  <si>
    <t>1.线路规格型号及走向与图纸一致
2.管道敷设横平竖直，墙面无横；
3.线路通电测试正常
4.灯具安装水平</t>
  </si>
  <si>
    <t>增加普通插座/备用电源/开关</t>
  </si>
  <si>
    <t>不含面板</t>
  </si>
  <si>
    <t>增加大功率电器插座（4平方）</t>
  </si>
  <si>
    <t>增加大功率电器插座（6平方）</t>
  </si>
  <si>
    <t>增加地插</t>
  </si>
  <si>
    <t>1.线路规格型号及走向与图纸一致
2.管道敷设横平竖直，墙面无横管
3.线路通电测试正常
4.地插安装位置与图纸一致、安装方正，地插开关顺畅</t>
  </si>
  <si>
    <t>增加网络电视电话插座</t>
  </si>
  <si>
    <t>1.线路规格型号及走向与图纸一致
2.管道敷设横平竖直，墙面无横管
3.网络电视电话插座面板安装水平
4.网络测试正常</t>
  </si>
  <si>
    <t>增加/更换手报</t>
  </si>
  <si>
    <t>1.手报移位至图纸对应位置
2.手报弱电线连通通畅
3.手报面板安装水平
4.手报测试合格</t>
  </si>
  <si>
    <t>平层-电箱全改（合同面积≤150㎡）</t>
  </si>
  <si>
    <t>按电箱套数计算</t>
  </si>
  <si>
    <t>包含强电箱更换、安装、固定、安装空开、排线、接线等</t>
  </si>
  <si>
    <t>1.强电箱体安装位置与图纸一致且安装水平
2.强电箱内空开型号规格与图纸一一对应
3.强电箱内干净整洁无杂物</t>
  </si>
  <si>
    <t>平层-电箱全改（150㎡&lt;合同面积≤200㎡）</t>
  </si>
  <si>
    <t>平层-电箱全改（合同面积＞200㎡）</t>
  </si>
  <si>
    <t>复式-电箱全改</t>
  </si>
  <si>
    <t>别墅-电箱全改</t>
  </si>
  <si>
    <t>强电箱移位</t>
  </si>
  <si>
    <t>包含开槽移位，排线接线等，不含电箱入户主线，主线部分按时收方包</t>
  </si>
  <si>
    <t>1.强电箱安装水平
2.强电箱位置与图纸一致
3.强电箱内干净整洁无杂物</t>
  </si>
  <si>
    <t>更换空开</t>
  </si>
  <si>
    <t>包含空开更换、安装、接线等</t>
  </si>
  <si>
    <t>1.强电箱内空开型号规格与图纸一一对应
2.强电箱内干净整洁无杂物</t>
  </si>
  <si>
    <t>弱电箱全改</t>
  </si>
  <si>
    <t>包含弱电箱更换、安装、固定、接线、测试等</t>
  </si>
  <si>
    <t>1.弱电箱安装水平
2.弱电箱内插座有单独电源
3.弱电箱内干净整洁无杂物</t>
  </si>
  <si>
    <t>弱电箱移位</t>
  </si>
  <si>
    <t>包含开槽移位，排线接线等，不含网络主线，线路部分按时收方</t>
  </si>
  <si>
    <t>1.弱电箱安装水平
2.弱电箱位置与图纸一致
3.弱电箱内插座有单独电源
4.弱电箱内干净整洁无杂物</t>
  </si>
  <si>
    <t>中央空调电源线（内机）</t>
  </si>
  <si>
    <t>按空调内机个数计算</t>
  </si>
  <si>
    <t>包含开槽、布管布线等</t>
  </si>
  <si>
    <t>中央空调电源线（外机）</t>
  </si>
  <si>
    <t>按空调外机个数计算</t>
  </si>
  <si>
    <t>大循环水改造（合同面积≤150㎡）</t>
  </si>
  <si>
    <t>户</t>
  </si>
  <si>
    <t>按户数计算</t>
  </si>
  <si>
    <t>包含开槽、布管、管件安装等</t>
  </si>
  <si>
    <t>按照图纸施工，横平竖直走管</t>
  </si>
  <si>
    <t>大循环水改造（150㎡&lt;合同面积≤220㎡）</t>
  </si>
  <si>
    <t>大循环水改造（合同面积＞220㎡）</t>
  </si>
  <si>
    <t>增加给水点位（PPR）（5米以内）</t>
  </si>
  <si>
    <t>施工范围内按点位数计算，施工范围外的点位按实际情况费用另算</t>
  </si>
  <si>
    <t>1.给水管道连续包裹保温棉无遗漏
2.管道敷设横平竖直
3.给水系统打压到0.8MPa，1h后压降不大于0.05MPa，且观察各个给水管道连接点位不漏水</t>
  </si>
  <si>
    <t>增加排水点位（PVC）（3米以内）</t>
  </si>
  <si>
    <t>包含布管、管件安装等</t>
  </si>
  <si>
    <t>1.管道粘接牢固
2.管道通水试验不漏水
3.排水管固定牢固</t>
  </si>
  <si>
    <t>暗埋花洒</t>
  </si>
  <si>
    <t>包含墙面开槽、预埋件预埋施工，预埋件甲供。
若客户自购主材，需请供应商到场指导施工。</t>
  </si>
  <si>
    <t>1.工艺：墙面开槽→预埋件安装→花洒安装→施工自检；
2.合格标准：尺寸符合图纸要求，花洒出水正常。</t>
  </si>
  <si>
    <t>暗埋龙头</t>
  </si>
  <si>
    <t>1.工艺：墙面开槽→预埋件安装→龙头→施工自检；
2.合格标准：尺寸符合图纸要求，龙头出水正常。</t>
  </si>
  <si>
    <t>暗埋水箱</t>
  </si>
  <si>
    <t>预埋件安装，龙骨加固，隐藏水箱安装。若客户自购主材，需请供应商到场指导施工。</t>
  </si>
  <si>
    <t>1.工艺：预埋件安装→龙骨加固→封板→隐藏水箱安装→施工自检；
2.合格标准：尺寸符合图纸要求，水箱出水正常。</t>
  </si>
  <si>
    <t>壁挂马桶预埋</t>
  </si>
  <si>
    <t>包含预埋件预埋施工，预埋件甲供。
若客户自购主材，若客户自购主材，需请供应商到场指导施工。</t>
  </si>
  <si>
    <t>照明线路-2.5</t>
  </si>
  <si>
    <t>按延长米计算，最低收费3米</t>
  </si>
  <si>
    <t>包含开槽、布管、布线、管件安装等</t>
  </si>
  <si>
    <t>插座线路-2.5</t>
  </si>
  <si>
    <t>插座线路-4.0</t>
  </si>
  <si>
    <t>电源线路-6.0（220V）</t>
  </si>
  <si>
    <t>按延长米计算，入户主线按时收方</t>
  </si>
  <si>
    <t>电源线路-10.0（220V）</t>
  </si>
  <si>
    <t>电源线路-16.0（220V）</t>
  </si>
  <si>
    <t>电源线路-6.0（380V）</t>
  </si>
  <si>
    <t>电源线路-10.0（380V）</t>
  </si>
  <si>
    <t>电源线路-16.0（380V）</t>
  </si>
  <si>
    <t>弱电线路(超五类)</t>
  </si>
  <si>
    <t>按延长米计算</t>
  </si>
  <si>
    <t>1.弱电线路与强电线路间距150mm，高性能超五类类屏蔽网线（贝莱茵）
2.弱电线路敷设横平竖直</t>
  </si>
  <si>
    <t>弱电线路(六类)</t>
  </si>
  <si>
    <t>1.弱电线路与强电线路间距150mm，高性能六类屏蔽网线（贝莱茵）
2.弱电线路敷设横平竖直</t>
  </si>
  <si>
    <t>电视线路</t>
  </si>
  <si>
    <t>电话线路</t>
  </si>
  <si>
    <t>底盒安装（砖墙）</t>
  </si>
  <si>
    <t>包含开槽、底盒固定</t>
  </si>
  <si>
    <t>1.底盒安装水平
2.乳胶漆墙面底盒低于冲筋完成面3—5mm
3.瓷砖墙面底盒平（不高于）冲筋完成面</t>
  </si>
  <si>
    <t>底盒安装（混凝土墙）</t>
  </si>
  <si>
    <t>PPR给水管-φ20</t>
  </si>
  <si>
    <t>PPR给水管-φ25</t>
  </si>
  <si>
    <t>PPR给水管-φ32</t>
  </si>
  <si>
    <t>PPR给水管-φ40</t>
  </si>
  <si>
    <t>TECE给水管-φ16</t>
  </si>
  <si>
    <t>TECE给水管-φ20</t>
  </si>
  <si>
    <t>TECE给水管-φ25</t>
  </si>
  <si>
    <t>PVC排水管-φ50</t>
  </si>
  <si>
    <t>PVC排水管-φ75</t>
  </si>
  <si>
    <t>PVC排水管-φ110</t>
  </si>
  <si>
    <t>水电开孔（直径≤φ80mm）</t>
  </si>
  <si>
    <t>包含墙面钻孔、垃圾清理</t>
  </si>
  <si>
    <t>按照物业要求开孔</t>
  </si>
  <si>
    <t>水电开孔（φ80mm&lt;直径≤120mm）</t>
  </si>
  <si>
    <t>水电开孔（φ120mm&lt;直径≤200mm）</t>
  </si>
  <si>
    <t>阳台置换为厨卫空间</t>
  </si>
  <si>
    <t>按厨房/卫生间个数计算</t>
  </si>
  <si>
    <t>将生活阳台改造成厨卫空间，包含新增开孔、排水管施工等</t>
  </si>
  <si>
    <t>————————</t>
  </si>
  <si>
    <t>卧室置换为厨卫空间</t>
  </si>
  <si>
    <t>将卧室改造成厨卫空间，包含新增开孔、排水管施工等</t>
  </si>
  <si>
    <t>地暖前地面粗找平（厚度50mm以内）</t>
  </si>
  <si>
    <t>地暖施工前地面水泥河沙找平处理</t>
  </si>
  <si>
    <t>1.工艺：基层清理→弹水平线→砂浆找平→施工自检→养护；
2.合格标准：找平后平整度误差≤5mm；
3.适用于地暖前粗找平区域，找平厚度50mm以内；</t>
  </si>
  <si>
    <t>立方</t>
  </si>
  <si>
    <t>按回填方量计算</t>
  </si>
  <si>
    <t>陶粒回填找平</t>
  </si>
  <si>
    <t>1.工艺：基层清理→弹水平线→陶粒回填→水泥砂浆保护层施工→施工自检→养护；
2.合格标准：平整度误差值5mm以内。</t>
  </si>
  <si>
    <t>陶粒回填+保护层（厚度150mm以内）</t>
  </si>
  <si>
    <t>按回填区域面积计算</t>
  </si>
  <si>
    <t>按施工面积计算
找平厚度30mm以内，超出部分每增加10mm厚增加15元/平米</t>
  </si>
  <si>
    <t>水泥砂浆找平，找平厚度≤30mm</t>
  </si>
  <si>
    <t>1.工艺：基层清理→弹水平线→砂浆找平（木抹子搓平后铁抹子收光）→施工自检→养护；
2.合格标准：平整度误差3mm以内；
3.包含基层清理、砂浆制作、找方正、抹平、压光。</t>
  </si>
  <si>
    <t>1.卫生间：沉箱地面清理，四周做R角处理，做柔性防水，防水超出沉箱上返300mm高，地面回填找平后做柔性防水+丙纶防水，墙面通用防水
2.厨房、阳台：地面清理后做柔性防水，墙面通用防水</t>
  </si>
  <si>
    <t>1.卫生间工艺：沉箱清理→管道保护并涂刷管路堵漏剂→阴角四周做R角→地面第一遍柔性浆料防水涂刷（沉箱内满涂）→待回填完成后在地面做第二遍柔性浆料防水涂刷（在回填后水泥砂浆保护层上满涂）+墙面通用防水2遍（防水高度超过吊顶线）→地面防水保护层施工→地面第三遍丙纶防水（地面满铺并上翻150-200mm）→闭水试验；
2.厨房工艺：清扫墙地面→管路堵漏剂涂刷→墙面通用防水2遍+地面柔性防水涂刷2遍（地面满刷、墙面上翻1000mm涂刷）→闭水试验；
3.阳台工艺：清扫墙地面→管路堵漏剂涂刷→地面满刷柔性浆料防水墙面上返300mm涂刷2遍→有给水点位的墙面防水高度涂刷至点位高度，点位左右1000mm→施工自检；
4.合格标准：基层地面无洞眼、无明显凹凸不平；严格按照工艺标准施工，闭水测试无渗漏。</t>
  </si>
  <si>
    <t>地面一次防水</t>
  </si>
  <si>
    <t>沉箱地面清理，四周做R角处理，涂刷两遍德高柔性防水，防水超出沉箱上返300mm高</t>
  </si>
  <si>
    <t>地面二次防水</t>
  </si>
  <si>
    <t>地面清理，涂刷两遍德高柔性防水</t>
  </si>
  <si>
    <t>墙面一次防水</t>
  </si>
  <si>
    <t>墙面清理，涂刷两遍德高刚性防水</t>
  </si>
  <si>
    <t>地面高分子防水卷材</t>
  </si>
  <si>
    <t>地面卷材防水</t>
  </si>
  <si>
    <t>1.工艺：卫生间地面卷材防水（防水卷材由地面上返墙面150mm-200mm）→闭水试验；
2.合格标准：基层地面无洞眼、无明显凹凸不平；严格按照工艺标准施工，闭水测试无渗漏。</t>
  </si>
  <si>
    <t>墙面新防水</t>
  </si>
  <si>
    <t>墙面意大利防水布施工，湿区满铺，干区非用水区按工艺部标准施工，接缝处粘贴密封纸、阴阳角防水处理、打胶等</t>
  </si>
  <si>
    <t>1.湿区满铺防水布，防水布与墙面紧贴在一起，无翘脚及鼓包等问题
2.墙面给水的内丝弯头处进行二次防水处理
3.窗框处进行专门的防水处理</t>
  </si>
  <si>
    <t>地面新防水</t>
  </si>
  <si>
    <t>地面意大利防水垫施工，满铺，接缝处粘贴密封纸、阴阳角防水处理、打胶等</t>
  </si>
  <si>
    <t>1.防水垫与墙面防水布、与干区墙面相交的阴角采用KC胶粘贴密封纸，密封纸居缝中，要求无鼓包、无气泡
2.地面排水管管根进行特殊防水处理，保证管根防水严密</t>
  </si>
  <si>
    <t>水泥河沙保护层施工</t>
  </si>
  <si>
    <t>1.水泥：河沙：水=1袋：7袋：20L配比拌和均匀；
2.保护层厚度10mm。</t>
  </si>
  <si>
    <t>地下室地面丙纶防水+保护层</t>
  </si>
  <si>
    <t>两层丙纶防水+防水保护层</t>
  </si>
  <si>
    <t>1.地面2层丙纶防水
2.防水保护层厚度30±2mm</t>
  </si>
  <si>
    <t>地下室墙面丙纶防水+挤塑板+墙面挂玻纤网</t>
  </si>
  <si>
    <t>两层丙纶防水+挤塑板</t>
  </si>
  <si>
    <t>1.墙面2层丙纶防水
2.墙面防水施工完成，铺贴厚度50mm挤塑板，在挤塑板上布管及底盒
3.找平施工前墙面需用玻纤网满挂网</t>
  </si>
  <si>
    <t>包含打眼、吊筋、主副龙骨、单层石膏板安装、转角加固等</t>
  </si>
  <si>
    <t>1.工艺：水平仪测量定位、弹线→边龙骨安装→吊件安装→膨胀螺栓固定→轻钢龙骨安装→纸面石膏板封板→自攻螺丝固定→钉帽防锈处理→嵌缝及粘贴纸带→施工自检；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</si>
  <si>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1.工艺：水平仪测量定位、弹线→边龙骨安装→吊件安装→膨胀螺栓固定→轻钢龙骨安装→防潮石膏板封板→自攻螺丝固定→钉帽防锈处理→嵌缝及粘贴纸带→施工自检；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</si>
  <si>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轻钢龙骨双层石膏板吊顶（平顶）</t>
  </si>
  <si>
    <t>包含打眼、吊筋、主副龙骨、双层石膏板安装、转角加固等</t>
  </si>
  <si>
    <t>轻钢龙骨双层防潮石膏板吊顶（平顶）</t>
  </si>
  <si>
    <t>1.工艺：水平仪测量定位、弹线→边龙骨安装→吊件安装→膨胀螺栓固定→轻钢龙骨安装→防潮石膏板封板→自攻螺丝固定→钉帽防锈处理→嵌缝及粘贴纸带→施工自检；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3.包含开灯孔等。</t>
  </si>
  <si>
    <t>阻燃板+防潮石膏板吊顶（平顶）</t>
  </si>
  <si>
    <t>包含打眼、吊筋、主副龙骨、单层阻燃板+石膏板安装、转角加固等</t>
  </si>
  <si>
    <t>1.工艺：水平仪测量定位、弹线→边龙骨安装→吊件安装→膨胀螺栓固定→轻钢龙骨安装→阻燃板加固→防潮石膏板封板→自攻螺丝固定→钉帽防锈处理→嵌缝及粘贴纸带→施工自检；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</si>
  <si>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12mm阻燃板+普通石膏板吊顶（平顶）</t>
  </si>
  <si>
    <t>1.工艺：水平仪测量定位、弹线→边龙骨安装→吊件安装→膨胀螺栓固定→轻钢龙骨安装→阻燃板加固→纸面石膏板封板→自攻螺丝固定→钉帽防锈处理→嵌缝及粘贴纸带→施工自检；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</si>
  <si>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15mm欧松板+普通石膏板吊顶（平顶）</t>
  </si>
  <si>
    <t>轻钢龙骨单层防潮石膏板吊顶（边顶）</t>
  </si>
  <si>
    <t>轻钢龙骨单层石膏板吊顶（边顶带灯槽）</t>
  </si>
  <si>
    <t>1.工艺：水平仪测量定位、弹线→边龙骨安装→吊件安装→膨胀螺栓固定→轻钢龙骨安装→灯槽制作→纸面石膏板封板→自攻螺丝固定→钉帽防锈处理→嵌缝及粘贴纸带→施工自检；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</si>
  <si>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轻钢龙骨双层石膏板吊顶（边顶）</t>
  </si>
  <si>
    <t>轻钢龙骨双层防潮石膏板吊顶（边顶）</t>
  </si>
  <si>
    <t>15mm欧松板+普通石膏板吊顶（边顶）</t>
  </si>
  <si>
    <t>包含打眼、吊筋、主副龙骨、木工板和石膏板安装、转角加固等</t>
  </si>
  <si>
    <t>1.工艺：水平仪测量定位、弹线→边龙骨安装→吊件安装→膨胀螺栓固定→轻钢龙骨安装→木工板、石膏板封板→自攻螺丝固定→钉帽防锈处理→嵌缝及粘贴纸带→施工自检；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</si>
  <si>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轻钢龙骨单层石膏板吊顶（跌级顶）</t>
  </si>
  <si>
    <t>1.工艺：水平仪测量定位、弹线→边龙骨安装→吊件安装→膨胀螺栓固定→轻钢龙骨安装→灯槽加固→纸面石膏板封板→自攻螺丝固定→钉帽防锈处理→嵌缝及粘贴纸带→施工自检；
2.合格标准：主龙骨间距800-1000mm，副龙骨间距400mm，边龙骨固定间距≤600mm；石膏板间缝隙为3-5mm缝隙，底板封板拐角处用L型整板，吊顶边缘打磨平整，垂直度误差≤2mm，石膏板平整稳固，整体误差≤4mm；
3.包含开灯孔。</t>
  </si>
  <si>
    <t>轻钢龙骨双层石膏板吊顶（跌级顶）</t>
  </si>
  <si>
    <t>按展开面积计算
适用于二级以内的跌级顶</t>
  </si>
  <si>
    <t>15mm欧松板+普通石膏板吊顶（跌级顶）</t>
  </si>
  <si>
    <t>轻钢龙骨双层石膏板吊顶（造型顶）</t>
  </si>
  <si>
    <t>按展开面积计算
适用于三级及以上的跌级顶、圆形顶、弧形顶、斜屋顶等，其余特殊顶单独报价。</t>
  </si>
  <si>
    <t>轻钢龙骨双层防潮石膏板吊顶（造型顶）</t>
  </si>
  <si>
    <t>15mm欧松板+普通石膏板吊顶（造型顶）</t>
  </si>
  <si>
    <t>增加灯槽</t>
  </si>
  <si>
    <t>包含灯槽制作安装、基层加固等</t>
  </si>
  <si>
    <t>1.工艺：测量、定位→点位垫块安装→点位固定→板材封面（欧松板、阻燃板、多层板）→施工自检；
2.合格标准：灯槽立板垂直90°、挡板、立板垂直度误差≤2mm，底板外口线平直度误差≤2mm、反光灯槽内底板平整无间隙；
3.立板用单层石膏板+12mm阻燃板封板。</t>
  </si>
  <si>
    <t>包含窗帘盒制作安装、基层加固等</t>
  </si>
  <si>
    <t>1.工艺：测量、定位→点位垫块安装→点位固定→板材封面（欧松板、阻燃板、多层板）→施工自检；
2.合格标准：石膏板间缝隙为3-5mm缝隙、吊顶边缘打磨平整，垂直度误差≤2mm、石膏板平整稳固，整体误差≤4mm。</t>
  </si>
  <si>
    <t>独立窗帘盒</t>
  </si>
  <si>
    <t>圆弧形造型窗帘盒</t>
  </si>
  <si>
    <t>按延长米计算
（宽度20mm以内，高度200mm以内，超出费用另计。高度每增加100mm增加15元/米）</t>
  </si>
  <si>
    <t>包含吊顶一圈、边顶或灯槽反边的眉线制作安装双层石膏板制作及安装（吊顶单算，这个只是眉线）</t>
  </si>
  <si>
    <t>1.工艺：水平仪测量定位、弹线→纸面石膏板封板→钉帽防锈处理→嵌缝及粘贴纸带→施工自检；
2.合格标准：石膏板间缝隙为3-5mm缝隙，边缘打磨平整，垂直度误差≤2mm，石膏板平整稳固，整体误差≤4mm。</t>
  </si>
  <si>
    <t>定制吊顶石膏板弧形转角</t>
  </si>
  <si>
    <t>包含石膏板倒圆角处理、转角加固等</t>
  </si>
  <si>
    <t>1.工艺：水平仪测量定位、弹线→边龙骨安装→吊件安装→膨胀螺栓固定→轻钢龙骨安装→吊顶圆角处理及纸面石膏板封板→自攻螺丝固定→钉帽防锈处理→嵌缝及粘贴纸带→施工自检；
2.合格标准：吊顶边缘打磨平整，垂直度误差≤2mm，石膏板平整稳固，整体误差≤4mm。</t>
  </si>
  <si>
    <t>开灯孔/新风孔</t>
  </si>
  <si>
    <t>包含放线、定位、开孔等</t>
  </si>
  <si>
    <t>1.工艺：测量、定位→开孔→施工自检；
2.合格标准：开口圆滑无毛刺，灯位开孔保证在一条直线上。</t>
  </si>
  <si>
    <t>按米数计算，单个设备孔最低收费1米</t>
  </si>
  <si>
    <t>包含放线、定位、开孔及加固处理等</t>
  </si>
  <si>
    <t>1.工艺：测量、定位→点位固定→封板→施工自检；
2.合格标准：开口90°无毛刺，采用轻钢龙骨或板材进行加固，采用2.5cm宽的阻燃板在靠洞口方向副龙骨底口处加固处理。</t>
  </si>
  <si>
    <t>轻钢龙骨单层12阻燃板吊顶基层（平顶）</t>
  </si>
  <si>
    <t>按展开面积计算，适用于顶面做木饰面的情况</t>
  </si>
  <si>
    <t>包含打眼、吊筋、主副龙骨、单层阻燃板安装、转角加固等</t>
  </si>
  <si>
    <t>1.工艺：水平仪测量定位、弹线→边龙骨安装→吊件安装→膨胀螺栓固定→轻钢龙骨安装→阻燃板封板→自攻螺丝固定→钉帽防锈处理→施工自检；
2.合格标准：主龙骨间距800-1000mm，副龙骨间距400mm，边龙骨固定间距≤600mm；封板拐角处用L型整板，吊顶边缘打磨平整，垂直度误差≤2mm，平整稳固，整体误差≤4mm；
3.包含开灯孔、新风孔等。</t>
  </si>
  <si>
    <t>轻钢龙骨单层15欧松板基层（平顶）</t>
  </si>
  <si>
    <t>包含打眼、吊筋、主副龙骨、单层欧松板安装、转角加固等</t>
  </si>
  <si>
    <t>吊顶轨道基层加固</t>
  </si>
  <si>
    <t>吊顶基层阻燃板加固处理</t>
  </si>
  <si>
    <t>吊顶钢架基层加固</t>
  </si>
  <si>
    <t>吊顶基层钢架加固处理</t>
  </si>
  <si>
    <t>1.工艺：定位放线→40*40矩管裁切、焊接→涂刷防锈漆→自攻螺丝封板→现场清理→施工自检
2.合格标准：横向钢龙骨水平误差1mm以内</t>
  </si>
  <si>
    <t>移门轨道基层</t>
  </si>
  <si>
    <t>移门轨道基层焊接方管及木工板加固处理</t>
  </si>
  <si>
    <t>门套基层制作及安装</t>
  </si>
  <si>
    <t>1.工艺：测量、定位→点位垫块安装→点位固定→板材封面→施工自检
2.合格标准：门垛安装垂直误差≤3mm，保证门洞宽度与要求大小一致。</t>
  </si>
  <si>
    <t>木基层封门头</t>
  </si>
  <si>
    <t>按米数计算，单个门头最低收费1米</t>
  </si>
  <si>
    <t>弧形门洞木基层</t>
  </si>
  <si>
    <t>包含基层加固，封石膏板</t>
  </si>
  <si>
    <t>1.工艺：测量、定位→点位垫块安装→点位固定→板材封面→施工自检
2.合格标准：木洞安装垂直误差≤3mm，保证门洞宽度与要求大小一致。</t>
  </si>
  <si>
    <t>轻钢龙骨隔墙（单面双层石膏板）</t>
  </si>
  <si>
    <t>包含天地龙骨、竖向龙骨、穿心龙骨安装、调直、加固，填隔音棉、单面封双层石膏板</t>
  </si>
  <si>
    <t>1.工艺：水平仪校方正线、弹线→膨胀固定沿顶、沿地、沿墙轻钢龙骨→安装竖向龙骨→安装贯通龙骨→自攻螺丝封板（欧松板、阻燃板、石膏板）→施工自检；
2.合格标准：隔墙牢固墙面平整垂直、墙面达到垂2平3的标准，误差≤2mm。</t>
  </si>
  <si>
    <t>轻钢龙骨弧形墙造型（单面双层石膏板）</t>
  </si>
  <si>
    <t>轻钢龙骨隔墙（单面单层阻燃板+单层石膏板）</t>
  </si>
  <si>
    <t>按正投影面积计算</t>
  </si>
  <si>
    <t>包含天地龙骨、竖向龙骨、穿心龙骨安装、调直、加固，填隔音棉、单面封阻燃板+石膏板</t>
  </si>
  <si>
    <t>轻钢龙骨弧形墙造型（单面单层阻燃板+单层石膏板）</t>
  </si>
  <si>
    <t>包含天地龙骨、竖向龙骨、穿心龙骨安装、调直、加固，填隔音棉、单面封木工板+单层石膏板基层</t>
  </si>
  <si>
    <t>轻钢龙骨隔墙（单面单层阻燃板+双层石膏板）</t>
  </si>
  <si>
    <t>包含天地龙骨、竖向龙骨、穿心龙骨安装、调直、加固，填隔音棉、单面封阻燃板+双层石膏板</t>
  </si>
  <si>
    <t>轻钢龙骨双面隔墙（双面双层石膏板）</t>
  </si>
  <si>
    <t>包含天地龙骨、竖向龙骨、穿心龙骨安装、调直、加固，填隔音棉、双面封双层石膏板</t>
  </si>
  <si>
    <t>轻钢龙骨弧形墙造型（双面双层石膏板）</t>
  </si>
  <si>
    <t>轻钢龙骨双面隔墙（一层阻燃板+一层石膏板）</t>
  </si>
  <si>
    <t>包含天地龙骨、竖向龙骨、穿心龙骨安装、调直、加固，填隔音棉、双面封阻燃板+石膏板</t>
  </si>
  <si>
    <t>轻钢龙骨弧形墙造型（双面封一层阻燃板+一层石膏板）</t>
  </si>
  <si>
    <t>包含天地龙骨、竖向龙骨、穿心龙骨安装、调直、加固，填隔音棉、双面封一层木工板+一层石膏板基层</t>
  </si>
  <si>
    <t>单排钢架基层</t>
  </si>
  <si>
    <t>包含钢架基层施工</t>
  </si>
  <si>
    <t>1.工艺：测量、定位→钢架基层施工→施工自检；
2.合格标准：平整度误差3mm以内，垂直度误差2mm以内。</t>
  </si>
  <si>
    <t>单排钢架木基层</t>
  </si>
  <si>
    <t>包含钢架基层，封木工板或阻燃板基层</t>
  </si>
  <si>
    <t>1.工艺：测量、定位→钢架基层施工→板材封面（欧松板、阻燃板、多层板）→施工自检；
2.合格标准：平整度误差3mm以内，垂直度误差2mm以内。</t>
  </si>
  <si>
    <t>单排钢架隔墙（含双面封板）</t>
  </si>
  <si>
    <t>单排钢架隔墙及双面封基层板施工</t>
  </si>
  <si>
    <t>1.工艺：定位、弹线→钢管裁切、焊接→自攻螺丝封板（欧松板、阻燃板、石膏板）→施工自检；
2.合格标准：钢龙骨间距400*400mm、钢龙骨上口满焊、下口点焊，焊接位置满刷防锈漆、隔墙牢固墙面平整垂直、墙面达到垂2平3的标准，误差≤2mm。</t>
  </si>
  <si>
    <t>双排钢架木基层</t>
  </si>
  <si>
    <t>双排钢架隔墙及双面封基层板施工</t>
  </si>
  <si>
    <t>钢架地台高250mm以内（不含木基层）</t>
  </si>
  <si>
    <t>地台高度≤250mm的双层钢架地台</t>
  </si>
  <si>
    <t>1.地台高度≤250mm的双层钢架地台</t>
  </si>
  <si>
    <t>钢架地台高250mm以内（含木基层）</t>
  </si>
  <si>
    <t>地台高度≤250mm的双层钢架地台，封木工板或阻燃板基层</t>
  </si>
  <si>
    <t>1.地台高度≤250mm的双层钢架地台，封木工板或阻燃板基层</t>
  </si>
  <si>
    <t>转换层焊接（单层）</t>
  </si>
  <si>
    <t>按施工面积计算
楼梯间转换层需计算整个楼梯间区域</t>
  </si>
  <si>
    <t>一般用于楼梯间超高施工使用</t>
  </si>
  <si>
    <t>1.一般用于楼梯间超高施工使用，或吊顶下吊高度≥1500mm的吊顶施工</t>
  </si>
  <si>
    <t>转换层焊接（双层）</t>
  </si>
  <si>
    <t>一般用于楼梯间超高或吊顶超高施工使用</t>
  </si>
  <si>
    <t>1.一般用于楼梯间超高施工使用，或吊顶下吊高度≥3000mm的吊顶施工</t>
  </si>
  <si>
    <t>木工板基层（单层）</t>
  </si>
  <si>
    <t>在找平的墙面直接封木工板或阻燃板基层，不含龙骨基层等</t>
  </si>
  <si>
    <t>1.工艺：测量、定位→基层施工（套餐）→板材封面（欧松板、阻燃板、多层板）→施工自检；
2.合格标准：平整度误差3mm以内，垂直度误差2mm以内。</t>
  </si>
  <si>
    <t>木楔子木基层</t>
  </si>
  <si>
    <t>包含木楔子调平，封木工板或阻燃板基层</t>
  </si>
  <si>
    <t>1.工艺：测量、定位→木楔子调平→板材封面（欧松板、阻燃板、多层板）→施工自检；
2.合格标准：平整度误差3mm以内，垂直度误差2mm以内。</t>
  </si>
  <si>
    <t>单排木龙骨木基层</t>
  </si>
  <si>
    <t>包含龙骨基层，封木工板或阻燃板基层</t>
  </si>
  <si>
    <t>1.工艺：测量、定位→木龙骨调平→板材封面（欧松板、阻燃板、多层板）→施工自检；
2.合格标准：平整度误差3mm以内，垂直度误差2mm以内。</t>
  </si>
  <si>
    <t>单排木龙骨石膏板基层</t>
  </si>
  <si>
    <t>包含龙骨调平，封石膏板基层</t>
  </si>
  <si>
    <t>双排木龙骨木基层</t>
  </si>
  <si>
    <t>单层石膏板基层</t>
  </si>
  <si>
    <t>包含石膏板基层施工</t>
  </si>
  <si>
    <t>1.工艺：测量、定位→板材封面（石膏板）→施工自检；
2.合格标准：平整度误差3mm以内，垂直度误差2mm以内。</t>
  </si>
  <si>
    <t>石膏板水缝拉槽处理</t>
  </si>
  <si>
    <t>包含基层拉槽处理等</t>
  </si>
  <si>
    <t>单层石膏板基层+拉槽处理</t>
  </si>
  <si>
    <t>包含石膏板基层施工及留缝处理</t>
  </si>
  <si>
    <t>1.工艺：测量、定位→板材封面（石膏板）、留缝处理→施工自检；
2.合格标准：平整度误差3mm以内，垂直度误差2mm以内。</t>
  </si>
  <si>
    <t>嵌入式踢脚线木基层（含开槽）</t>
  </si>
  <si>
    <t>包含墙面开槽、木基层封板调平</t>
  </si>
  <si>
    <t>1.工艺：测量、定位→开槽→板材封面（阻燃板）→施工自检；
2.合格标准：平整度误差3mm以内，垂直度误差2mm以内。</t>
  </si>
  <si>
    <t>嵌入式踢脚线木基层（不含开槽）</t>
  </si>
  <si>
    <t>包含木基层封板调平</t>
  </si>
  <si>
    <t>1.工艺：测量、定位→板材封面（阻燃板）→施工自检；
2.合格标准：平整度误差3mm以内，垂直度误差2mm以内。</t>
  </si>
  <si>
    <t>冲筋</t>
  </si>
  <si>
    <t>放线、定位、冲大面筋、冲阴阳角筋、横阳筋等</t>
  </si>
  <si>
    <t>1.工艺：水平仪校正放规方线→在墙面冲找平筋条（间距≤1200mm）→阴阳角区域处理→施工自检→养护；
2.合格标准：以筋平面为石膏找平完成面，使用2400mm靠尺检查墙面平整度，平整度误差≤3mm，阴阳角方正。</t>
  </si>
  <si>
    <t>套餐升级价格</t>
  </si>
  <si>
    <t>墙面冲筋做方正</t>
  </si>
  <si>
    <t>按墙面面积计算</t>
  </si>
  <si>
    <t>放线、定位、冲大面筋、冲阴阳角筋、横阳筋、石膏找平等</t>
  </si>
  <si>
    <t>1.工艺：水平仪校正放规方线→在墙面冲找平筋条（间距≤1200mm）→阴阳角区域处理→人工涂刷界面剂一遍→基层处理（挂网、补钉眼、贴纸胶带）→石膏配合筋条进行墙面精找平→靠尺赶平→批刮腻子两遍→灯照砂纸打磨→底漆一遍→施工自检→养护；
2.合格标准：以筋平面为石膏找平完成面，使用2400mm靠尺检查墙面平整度，平整度误差≤3mm，阴阳角方正；
3.包含墙面线槽修补、刷界面剂、冲筋、挂网、石膏找方正、阴阳角处理、两遍腻子找平、打磨、一遍底漆施工等。</t>
  </si>
  <si>
    <t>按施工面积计算，门窗面积按50%计算</t>
  </si>
  <si>
    <t>刷界面剂、挂网、补钉眼、铲胶、贴纸胶带、石膏找平、阴阳角处理、两遍腻子施工、打磨和一遍底漆施工等</t>
  </si>
  <si>
    <t>1.工艺：人工涂刷界面剂一遍→基层处理（挂网、补钉眼、贴纸胶带）→石膏涂抹上墙→靠尺赶平→批刮腻子两遍→灯照砂纸打磨→底漆或基膜一遍→施工自检→养护；
2.合格标准：找平完成面平整度误差5mm以内；
3.包含线槽修补、刷界面剂、挂网、补钉眼、贴纸胶带、石膏找平、阴阳角处理、两遍腻子找平、打磨、一遍底漆施工等。</t>
  </si>
  <si>
    <t>墙面石膏腻子顺平处理(湿区)</t>
  </si>
  <si>
    <t>1.工艺：人工涂刷界面剂一遍→基层处理（挂网、补钉眼、贴纸胶带）→石膏涂抹→靠尺赶平→批刮腻子两遍→灯照砂纸打磨→底漆一遍→施工自检→养护；
2.合格标准：找平完成面平整度误差5mm以内；
3.包含线槽修补、刷界面剂、挂网、补钉眼、贴纸胶带、石膏找平、阴阳角处理、两遍腻子找平、打磨、一遍底漆施工等。</t>
  </si>
  <si>
    <t>墙面基层冲筋做方正找平（干区）</t>
  </si>
  <si>
    <t>刷界面剂、冲筋、挂网、补钉眼、铲胶、贴纸胶带、石膏找平、阴阳角处理、两遍腻子施工、打磨和一遍底漆施工等</t>
  </si>
  <si>
    <t>墙面基层冲筋做方正找平（湿区）</t>
  </si>
  <si>
    <t>墙面基层冲筋做方正找平（加厚10mm）</t>
  </si>
  <si>
    <t>吊顶直角边线倒圆弧处理</t>
  </si>
  <si>
    <t>直角倒圆角处理、打磨、石膏腻子基层、打磨和一遍底漆施工</t>
  </si>
  <si>
    <t>1.工艺：直角打磨倒圆角处理→基层处理（挂网、贴纸胶带）→石膏涂抹→刮平→批刮腻子两遍→灯照砂纸打磨→底漆或基膜一遍→施工自检→养护；
2.合格标准：找平完成面垂直平整度误差3mm以内；
3.包含倒角、刷界面剂、挂网、补钉眼、贴纸胶带、石膏找平、阴阳角处理、两遍腻子找平、打磨、一遍底漆施工等。</t>
  </si>
  <si>
    <t>墙面直角倒圆弧处理</t>
  </si>
  <si>
    <t>石膏线修补</t>
  </si>
  <si>
    <t>线条处理、打磨、石膏腻子基层、打磨和一遍底漆施工</t>
  </si>
  <si>
    <t>1.工艺：线条打磨处理→基层处理（挂网、贴纸胶带）→石膏涂抹→刮平→批刮腻子两遍→灯照砂纸打磨→底漆或基膜一遍→施工自检→养护；
2.合格标准：找平完成面垂直平整度误差3mm以内；
3.包含倒角、刷界面剂、挂网、补钉眼、贴纸胶带、石膏找平、阴阳角处理、两遍腻子找平、打磨、一遍底漆施工等。</t>
  </si>
  <si>
    <t>精修、打胶收口</t>
  </si>
  <si>
    <t>施工结束后由专业乳胶漆、艺术漆涂装公司进行精修</t>
  </si>
  <si>
    <t>1.对室内墙顶面受损部位进行漆面修补一次，按面漆涂刷施工工艺施工；
注意：踢脚线、阴阳角、窗边、门边、开孔周围等区域着重修补。</t>
  </si>
  <si>
    <t>水泥河沙贴地砖（600*1200）</t>
  </si>
  <si>
    <t>水泥砂浆贴砖，含瓷砖加工、缝隙清理、瓷砖面清理、勾缝、地面贴保护膜等</t>
  </si>
  <si>
    <t>1.工艺：基层清理→水平仪定位、放线→材料预排版→清理瓷砖表面、浸泡→墙地面洒水润湿→制拌砂浆→铺贴、勾缝→养护及现场清理→施工自检；
2.合格标准：垂直平整度误差5mm以内，4片砖对接处手触摸无凹凸感，无空鼓，边角横向不能有100mm以内小条，竖向不能有50mm以内小条；柜体台面安装阴阳角800mm-1000mm位置范围处直角度确保90°；
3.包含施工完成后的瓷砖表面清理、专用保护膜保护等；
4.不含美缝。</t>
  </si>
  <si>
    <t>水泥砂浆贴砖，含墙砖背胶处理、瓷砖加工、缝隙清理、瓷砖面清理、勾缝、阳角保护等</t>
  </si>
  <si>
    <t>1.工艺：基层清理→水平仪定位、放线→材料预排版→清理瓷砖表面、浸泡→墙地面洒水润湿→制拌砂浆→铺贴、勾缝、阳角加工处理→养护及现场清理→施工自检；
2.合格标准：垂直平整度误差5mm以内，4片砖对接处手触摸无凹凸感，无空鼓，边角横向不能有100mm以内小条，竖向不能有50mm以内小条；柜体台面安装阴阳角800mm-1000mm位置范围处直角度确保90°；
3.包含施工完成后的瓷砖表面清理、阳角保护等；
4.不含美缝。</t>
  </si>
  <si>
    <t>水泥河沙贴砖（200mm以内小砖）</t>
  </si>
  <si>
    <t>水泥砂浆贴砖，含墙砖背胶处理、瓷砖加工、缝隙清理、瓷砖面清理、勾缝、地面贴保护膜、墙面阳角保护等</t>
  </si>
  <si>
    <t>1.工艺：基层清理→水平仪定位、放线→材料预排版→清理瓷砖表面、浸泡→墙地面洒水润湿→制拌砂浆→铺贴、勾缝、阳角加工处理→养护及现场清理→施工自检；
2.合格标准：垂直平整度误差5mm以内，4片砖对接处手触摸无凹凸感，无空鼓；柜体台面安装阴阳角800mm-1000mm位置范围处直角度确保90°；
3.包含施工完成后的瓷砖表面清理、地面贴专用保护膜保护、墙面阳角保护等；
4.不含美缝。</t>
  </si>
  <si>
    <t>意大利薄贴地砖（600*1200）</t>
  </si>
  <si>
    <t>瓷砖胶薄贴法施工，含瓷砖加工、缝隙清理、瓷砖面清理、勾缝、地面贴保护膜等</t>
  </si>
  <si>
    <t>1.工艺：清理瓷砖表面→墙面找平层检查→水泥扫浆→测量定位→材料预排→标高定位→瓷砖胶泥搅拌→批刮胶泥→瓷砖薄贴、勾缝→养护及现场清理→施工自检；
2.合格标准：垂直平整度达到垂2平3，4片砖对接处手触摸无凹凸感，无空鼓，边角横向不能有100mm以内小条，竖向不能有50mm以内小条；柜体台面安装阴阳角800mm-1000mm位置范围处直角度确保90°；
3.包含施工完成后的瓷砖表面清理、专用保护膜保护等；
4.不含美缝。</t>
  </si>
  <si>
    <t>意大利薄贴地砖（单边≤800mm）</t>
  </si>
  <si>
    <t>意大利薄贴墙砖（600*1200）</t>
  </si>
  <si>
    <t>瓷砖胶薄贴法施工，含瓷砖加工、缝隙清理、瓷砖面清理、勾缝、阳角保护等</t>
  </si>
  <si>
    <t>1.工艺：清理瓷砖表面→墙面找平层检查→水泥扫浆→测量定位→材料预排→标高定位→瓷砖胶泥搅拌→批刮胶泥→瓷砖薄贴、勾缝、阳角加工处理→养护及现场清理→施工自检；
2.合格标准：垂直平整度达到垂2平3，4片砖对接处手触摸无凹凸感，无空鼓，边角横向不能有100mm以内小条，竖向不能有50mm以内小条；柜体台面安装阴阳角800mm-1000mm位置范围处直角度确保90°；
3.包含施工完成后的瓷砖表面清理、阳角保护等；
4.不含美缝。</t>
  </si>
  <si>
    <t>意大利薄贴墙砖（单边≤800mm）</t>
  </si>
  <si>
    <t>意大利薄贴（200mm以内小砖）</t>
  </si>
  <si>
    <t>瓷砖胶薄贴法施工，含瓷砖加工、缝隙清理、瓷砖面清理、勾缝、地面贴保护膜、墙面阳角保护等</t>
  </si>
  <si>
    <t>1.工艺：清理瓷砖表面→墙面找平层检查→水泥扫浆→测量定位→材料预排→标高定位→瓷砖胶泥搅拌→批刮胶泥→瓷砖薄贴、勾缝、阳角加工处理→养护及现场清理→施工自检；
2.合格标准：垂直平整度达到垂2平3，4片砖对接处手触摸无凹凸感，无空鼓；柜体台面安装阴阳角800mm-1000mm位置范围处直角度确保90°；
3.包含施工完成后的瓷砖表面清理、地面贴专用保护膜保护、墙面阳角保护等；
4.不含美缝。</t>
  </si>
  <si>
    <t>意大利薄贴地砖（750*1500、800*1600、1200*1200)</t>
  </si>
  <si>
    <t>意大利薄贴墙砖（750*1500、800*1600、1200*1200)</t>
  </si>
  <si>
    <t>意大利薄贴地砖（900*1800）</t>
  </si>
  <si>
    <t>意大利薄贴墙砖（900*1800）</t>
  </si>
  <si>
    <t>意大利薄贴地砖（1200*2400）</t>
  </si>
  <si>
    <t>意大利薄贴墙砖（1200*2400）</t>
  </si>
  <si>
    <t>菱形铺贴（300*300、400*400）</t>
  </si>
  <si>
    <t>按施工面积计算，材料损耗另+20%</t>
  </si>
  <si>
    <t>人字拼/鱼骨拼</t>
  </si>
  <si>
    <t>瓷砖胶薄贴法施工，人字拼/工字拼/鱼骨拼等特殊拼法施工</t>
  </si>
  <si>
    <t>1.工艺：清理瓷砖表面→墙面找平层检查→水泥扫浆→测量定位→材料预排→标高定位→瓷砖胶泥搅拌→批刮胶泥→瓷砖薄贴、勾缝、阳角加工处理→养护及现场清理→施工自检；
2.合格标准：垂直平整度达到垂2平3，4片砖对接处手触摸无凹凸感，无空鼓，边角横向不能有100mm以内小条，竖向不能有50mm以内小条；柜体台面安装阴阳角800mm-1000mm位置范围处直角度确保90°；
3.包含施工完成后的瓷砖表面清理、专用保护膜保护、阳角保护等；
4.不含美缝。</t>
  </si>
  <si>
    <t>瓷砖拼花</t>
  </si>
  <si>
    <t>瓷砖拼花施工</t>
  </si>
  <si>
    <t>弧形区域地砖施工</t>
  </si>
  <si>
    <t>+25</t>
  </si>
  <si>
    <t>瓷砖异型加工及安装</t>
  </si>
  <si>
    <t>1.工艺：清理瓷砖表面→墙面找平层检查→水泥扫浆→测量定位→材料预排→标高定位→瓷砖胶泥搅拌→批刮胶泥→瓷砖粘贴→现场清理→施工自检；
2.合格标准：接缝处高差1mm以内，整条长边误差2mm以内；</t>
  </si>
  <si>
    <t>弧形区域瓷砖翻边</t>
  </si>
  <si>
    <t>瓷砖波打线施工</t>
  </si>
  <si>
    <t>+35</t>
  </si>
  <si>
    <t>按延长米计算，最低收费10米</t>
  </si>
  <si>
    <t>楼梯踏步贴砖</t>
  </si>
  <si>
    <t>按踏步数计算，转角平台处算量两步</t>
  </si>
  <si>
    <t>瓷砖胶薄贴法施工，含瓷砖加工、缝隙清理、瓷砖面清理、勾缝、贴保护膜、阳角保护等</t>
  </si>
  <si>
    <t>1.工艺：清理瓷砖表面→墙面找平层检查→水泥扫浆→测量定位→材料预排→标高定位→瓷砖胶泥搅拌→批刮胶泥→瓷砖薄贴、勾缝、阳角加工处理→养护及现场清理→施工自检；
2.合格标准：垂直平整度达到垂2平3，4片砖对接处手触摸无凹凸感，无空鼓；柜体台面安装阴阳角800mm-1000mm位置范围处直角度确保90°；
3.包含施工完成后的瓷砖表面清理、专用保护膜保护、阳角保护等；
4.不含美缝。</t>
  </si>
  <si>
    <t>壁龛（300*300以内）</t>
  </si>
  <si>
    <t>按壁龛格数计算</t>
  </si>
  <si>
    <t>墙面防水、瓷砖胶薄贴法施工，含瓷砖加工、缝隙清理、瓷砖面清理、阳角保护等</t>
  </si>
  <si>
    <t>壁龛(大砖：300mm及以上）</t>
  </si>
  <si>
    <t>瓷砖胶工艺墙</t>
  </si>
  <si>
    <t>瓷砖胶工艺展示墙施工</t>
  </si>
  <si>
    <t>1.采用瓷砖胶进行墙面造型处理；</t>
  </si>
  <si>
    <t>瓷砖踢脚线（成品踢脚线）</t>
  </si>
  <si>
    <t>贴瓷砖踢脚线(不含现场切割加工)</t>
  </si>
  <si>
    <t>1.工艺：清理瓷砖表面→墙面找平层检查→水泥扫浆→测量定位→材料预排→标高定位→瓷砖胶泥搅拌→批刮胶泥→瓷砖踢脚线粘贴→现场清理→施工自检；
2.合格标准：接缝处高差1mm以内，整条长边误差2mm以内；
3.瓷砖胶粘贴踢脚线。</t>
  </si>
  <si>
    <t>瓷砖踢脚线（非成品类）</t>
  </si>
  <si>
    <t>贴瓷砖踢脚线(含瓷砖现场切割加工)</t>
  </si>
  <si>
    <t>1.工艺：清理瓷砖表面→墙面找平层检查→水泥扫浆→测量定位→材料预排→标高定位→瓷砖胶泥搅拌→批刮胶泥→瓷砖踢脚线加工→粘贴→现场清理→施工自检；
2.合格标准：接缝处高差1mm以内，整条长边误差2mm以内；
3.瓷砖胶粘贴踢脚线。</t>
  </si>
  <si>
    <t>暗藏式瓷砖踢脚线</t>
  </si>
  <si>
    <t>包含墙面开槽处理，成品瓷砖踢脚线安装</t>
  </si>
  <si>
    <t>包含清理缝隙、美缝剂、人工施工等</t>
  </si>
  <si>
    <t>1.工艺：清理瓷砖表面→美缝→保护及现场清理→施工自检；
2.合格标准：瓷砖填缝均匀、平滑、无漏填、少填、色差等；
3.包含施工完成后的瓷砖表面清理、专用保护膜保护、阳角保护等。</t>
  </si>
  <si>
    <t>按施工面积计算
分色费另计</t>
  </si>
  <si>
    <t>面漆喷涂施工</t>
  </si>
  <si>
    <t>1.工艺：面漆喷涂→施工自检；
2.合格标准：完成面颜色均匀，平整度误差5mm以内。</t>
  </si>
  <si>
    <t>乳胶漆滚涂</t>
  </si>
  <si>
    <t>面漆滚涂施工</t>
  </si>
  <si>
    <t>艺术漆施工</t>
  </si>
  <si>
    <t>按施工面积计算，门窗洞口面积计算50%
两个及以上的颜色费用另计</t>
  </si>
  <si>
    <t>1.工艺：艺术漆施工→施工自检；
2.合格标准：完成面颜色均匀，平整度误差5mm以内。</t>
  </si>
  <si>
    <t>乳胶漆分色费</t>
  </si>
  <si>
    <t>按颜色个数计算，全屋乳胶漆3个色以内免费，3个色以上每增加1个色加100元，异形墙面分色300元/个</t>
  </si>
  <si>
    <t>乳胶漆分色</t>
  </si>
  <si>
    <t>贴墙纸</t>
  </si>
  <si>
    <t>墙纸施工</t>
  </si>
  <si>
    <t>1.工艺：墙纸铺贴→施工自检；
2.合格标准：完成面平整度误差5mm以内。</t>
  </si>
  <si>
    <t>贴墙纸（拼花）</t>
  </si>
  <si>
    <t>贴墙布</t>
  </si>
  <si>
    <t>墙布施工</t>
  </si>
  <si>
    <t>1.工艺：墙布铺贴→施工自检；
2.合格标准：完成面平整度误差5mm以内。</t>
  </si>
  <si>
    <t>贴墙布（拼花）</t>
  </si>
  <si>
    <t>贴墙画</t>
  </si>
  <si>
    <t>按施工面积计算，不含主材墙画</t>
  </si>
  <si>
    <t>墙画施工</t>
  </si>
  <si>
    <t>1.工艺：墙画铺贴→施工自检；
2.合格标准：完成面平整度误差5mm以内。</t>
  </si>
  <si>
    <t>橱柜安装</t>
  </si>
  <si>
    <t>1.柜体安装水平稳固
2.门板开关顺畅无异响
3.柜体成品、五金、踢脚板均清洁干净，成品无残胶、无污渍，并做成品保护</t>
  </si>
  <si>
    <t>浴室柜安装</t>
  </si>
  <si>
    <t>1.柜体安装水平稳固
2.门板开关顺畅无异响
3.柜体成品清洁干净，成品无残胶、无污渍，并做成品保护</t>
  </si>
  <si>
    <t>卫浴镜柜安装（1米以内）</t>
  </si>
  <si>
    <t>卫浴镜柜安装（2米以内）</t>
  </si>
  <si>
    <t>卫浴镜柜安装（3米以内）</t>
  </si>
  <si>
    <t>室内柜安装</t>
  </si>
  <si>
    <t>橱柜台面安装</t>
  </si>
  <si>
    <t>1.台面整体平整，台面之间缝隙贴合紧密，台面之间无落差，手触无凹凸感
2.挡水板头尾打磨平整，非接缝处的直角打磨成圆角
3.台面干净整洁、美观
4.台面安装稳固</t>
  </si>
  <si>
    <t>卫浴柜台面安装</t>
  </si>
  <si>
    <t>1.柜体台面安装水平、稳固
2.水龙头开孔位置与排水孔成一条直线
3.台面干净整洁、美观</t>
  </si>
  <si>
    <t>开关插座面板安装</t>
  </si>
  <si>
    <t>1.开关插座安装水平
2.开关插座缝隙均匀美观
3.开关开关顺畅
4.开关插座表面干净整洁</t>
  </si>
  <si>
    <t>浴霸/换气扇安装</t>
  </si>
  <si>
    <t>1.浴霸/换气扇安装方正
2.浴霸/换气扇与吊顶之间紧密交接
3.浴霸/换气扇运行正常、无异响</t>
  </si>
  <si>
    <t>灯具安装（筒灯/射灯/LED等）</t>
  </si>
  <si>
    <t>1.灯具控制正常
2.灯具灯光均匀、无闪烁情况
3.灯具与吊顶之间无缝隙
4.灯具表面干净整洁</t>
  </si>
  <si>
    <t>灯带安装</t>
  </si>
  <si>
    <t>1.灯带控制正常
2.灯带灯光均匀、无闪烁情况</t>
  </si>
  <si>
    <t>格栅灯/条形灯</t>
  </si>
  <si>
    <t>含安装地垫、木地板、配件安装，完工保护等</t>
  </si>
  <si>
    <t>1.地面满铺防潮垫，靠墙处上引约20mm，防潮垫无重叠
2.木地板四周与墙面留8-10mm的伸缩缝
3.木地板完成后无起拱现象
4.地板铺贴完成，将地面清理干净过，并铺瓦楞纸保护</t>
  </si>
  <si>
    <t>强化地板安装</t>
  </si>
  <si>
    <t>地板人字拼</t>
  </si>
  <si>
    <t>地板鱼骨拼</t>
  </si>
  <si>
    <t>木地板上墙</t>
  </si>
  <si>
    <t>1.木地板铺贴美观
2.木地板完成后无起拱现象
3.地板铺贴完成，将表面清理干净过，并铺保护膜</t>
  </si>
  <si>
    <t>含安装踢脚线、打胶等</t>
  </si>
  <si>
    <t>1.脚线接缝处平整无错位
2.PVC脚线密缝连接，烤漆线之间留有1mm伸缩缝
3.踢脚线阴阳角美观、无明显钉眼
4.踢脚线安装牢固</t>
  </si>
  <si>
    <t>淋浴房"一"字型</t>
  </si>
  <si>
    <t>1.淋浴房玻璃垂直度误差≤2mm
2.固定扇玻璃与门扇玻璃的磁吸条完全重合，磁吸正常
3.防水胶条顺直、无褶皱
4.玻璃门开关顺畅，门把手安装时，胶条方正，不外露
5.挡水石与铝合金底座交界处、铝合金与玻璃交界处的内、外打半透明玻璃胶  ，打胶顺直美观
6.固定扇玻璃靠墙一侧无胶条时，内、外打半透明玻璃胶</t>
  </si>
  <si>
    <t>淋浴房"L/T"型</t>
  </si>
  <si>
    <t>淋浴房钻石型</t>
  </si>
  <si>
    <t>卫浴五金安装</t>
  </si>
  <si>
    <t>间</t>
  </si>
  <si>
    <t>水盆安装</t>
  </si>
  <si>
    <t>1.水盆安装方正、稳固</t>
  </si>
  <si>
    <t>水盆龙头安装</t>
  </si>
  <si>
    <t>1.龙头安装稳固
2.冷热水接管正确
3.龙头开关顺畅
4.放水试验，龙头各个连接处无漏水情况</t>
  </si>
  <si>
    <t>浴缸安装</t>
  </si>
  <si>
    <t>1.浴缸安装水平，浴缸与墙体交界处打半透明玻璃胶，打胶均匀美观
2.浴缸龙头安装稳固
3.浴缸下水安装到位
4.浴缸满水试验无漏水渗水为合格</t>
  </si>
  <si>
    <t>成品卫浴镜柜安装</t>
  </si>
  <si>
    <t>1.卫浴镜安装水平、稳固
2.卫浴镜电源接线正确、开关正常</t>
  </si>
  <si>
    <t>马桶安装</t>
  </si>
  <si>
    <t>1.马桶安装方正、稳固无晃动
2.马桶盖安装方正、稳定，开启顺畅，放下时缓慢复位
3.马桶底座打半透明胶，打胶均匀美观
4.马桶冲水实验排水顺畅，无漏水</t>
  </si>
  <si>
    <t>蹲便器安装</t>
  </si>
  <si>
    <t>1.蹲便器安装水平、稳固
2.蹲便器水箱安装水平、稳固
3.蹲便器排水顺畅</t>
  </si>
  <si>
    <t>洗脸盆安装</t>
  </si>
  <si>
    <t>1.水盆安装方及稳固</t>
  </si>
  <si>
    <t>洗脸盆龙头安装</t>
  </si>
  <si>
    <t>1.龙头安装稳固
2.水龙头开孔与洗脸盆中心对齐
3.冷热水接管正确
4.龙头开关顺畅
5.放水试验，龙头各个连接处无漏水情况</t>
  </si>
  <si>
    <t>1.混水阀安装水平，牢固  
2.混水阀为可调节水温款，混水阀与墙交界处须打半透明玻璃胶
3.花洒升降杆安装竖直、稳固
4.安装完成后，进行通水试验，花洒出水速度及出水量正常，且花洒各个连接点无漏水</t>
  </si>
  <si>
    <t>浴巾架安装</t>
  </si>
  <si>
    <t>1.安装水平及牢固</t>
  </si>
  <si>
    <t>毛巾圈安装</t>
  </si>
  <si>
    <t>挂衣钩安装</t>
  </si>
  <si>
    <t>置物篮安装</t>
  </si>
  <si>
    <t>厕纸架安装</t>
  </si>
  <si>
    <t>马桶刷安装</t>
  </si>
  <si>
    <t>洗衣机龙头安装</t>
  </si>
  <si>
    <t>1.安装方正、不漏水</t>
  </si>
  <si>
    <t>电热毛巾架安装</t>
  </si>
  <si>
    <t>1.安装水平及牢固
2.接线正确</t>
  </si>
  <si>
    <t>化妆镜安装</t>
  </si>
  <si>
    <t>地漏安装</t>
  </si>
  <si>
    <t>洗碗机安装</t>
  </si>
  <si>
    <t>1.洗碗机安装稳固、水平
2.洗碗机与柜体贴合美观
3.洗碗机给水、排水连接紧密，给水通水后连接处无漏水、渗水
4.洗碗机门开关顺畅、内部支架等推拉顺畅
5.洗碗机通电正常</t>
  </si>
  <si>
    <t>成品安装(含门套、门、五金)</t>
  </si>
  <si>
    <t>1.门扇与横套、左右竖套间距一致，无大小头
2.门扇底部与地板、瓷砖的最高点距离不小于6mm，不大于9mm
3.门扇与门套四角缝隙均匀一致
4.门套固定稳固、门扇开关顺畅、无异响
5.至少三次开、合门锁，并反锁操作，门锁功能正常
6.门吸安装稳固</t>
  </si>
  <si>
    <t>垭口门套</t>
  </si>
  <si>
    <t>成品门套安装</t>
  </si>
  <si>
    <t>1.直角拼接
2.意大利CLEAF 定制CPL包覆膜
3.PUR热熔胶粘接</t>
  </si>
  <si>
    <t>墙板隐形门（含门、五金）</t>
  </si>
  <si>
    <t>成品安装(含门、五金)</t>
  </si>
  <si>
    <t>1.门扇与墙板保持在一个平面，无大小头
2.门扇底部与地板、瓷砖的最高点距离不小于6mm，不大于9mm
3.门扇与门套四角缝隙均匀一致
4.门套固定稳固、门扇开关顺畅、无异响
5.至少三次开、合门锁，并反锁操作，门锁功能正常</t>
  </si>
  <si>
    <t>子母门（含门、五金）</t>
  </si>
  <si>
    <t>单扇木质推拉门(含门套、门、五金)</t>
  </si>
  <si>
    <t>成品安装(含门套、门、轨道、五金等)</t>
  </si>
  <si>
    <t>双扇木质推拉门(含门套、门、五金)</t>
  </si>
  <si>
    <t>单扇玻璃推拉门（门、五金）</t>
  </si>
  <si>
    <t>成品安装(含门、轨道、五金等)</t>
  </si>
  <si>
    <t>1、玻璃门安装垂直度误差≤1mm(≤2mm)
2、定位栓位于玻璃门正下方，开关门状态均藏于玻璃门底部轨道内
3、确认玻璃门开关平滑，阻尼有效，无异响
4、推拉门框无划痕，玻璃门表面无手印、污渍</t>
  </si>
  <si>
    <t>双扇玻璃推拉门（门、五金）</t>
  </si>
  <si>
    <t>1.玻璃门安装垂直度误差≤1mm(≤2mm)
2.定位栓位于玻璃门正下方，开关门状态均藏于玻璃门底部轨道内
3.确认玻璃门开关平滑，阻尼有效，无异响
4.推拉门框无划痕，玻璃门表面无手印、污渍</t>
  </si>
  <si>
    <t>三扇玻璃推拉门（门、五金）</t>
  </si>
  <si>
    <t>四扇玻璃推拉门（门、五金）</t>
  </si>
  <si>
    <t>三联动玻璃门（门、五金）</t>
  </si>
  <si>
    <t>墙板安装</t>
  </si>
  <si>
    <t>按平米计算</t>
  </si>
  <si>
    <t>1.安装垂直平整度≤3mm
2.表面无划痕、手印、污渍</t>
  </si>
  <si>
    <t>岩板安装</t>
  </si>
  <si>
    <t>成品安装，包含加工切割、美缝处理</t>
  </si>
  <si>
    <t>不锈钢装饰条安装</t>
  </si>
  <si>
    <t>1.不锈钢接缝处平整无错位
2.连接美观无凹凸</t>
  </si>
  <si>
    <t>按延长米计算，不足一米按一米计算</t>
  </si>
  <si>
    <t>1.石材安装水平
2.石材空鼓率不超过5%
3.石材表面裂痕不能超过整体宽度/长度的1/3且不能有断裂、返碱、拼接现象</t>
  </si>
  <si>
    <t>挡水石安装</t>
  </si>
  <si>
    <t>按延长米计算，单根不足一米按一米计算，有转角的算一根</t>
  </si>
  <si>
    <t>1.挡水石表面平整度≤3mm
2.钻石型淋浴房挡水石安装成135°
3.石材表面及四周缝隙处清理干净</t>
  </si>
  <si>
    <t>1.同一块石材表面杂斑数量不能超过3处
2.2m以内的石材需要整板安装，石材空鼓率不超过5%
3.石材安装水平</t>
  </si>
  <si>
    <t>地面石材安装</t>
  </si>
  <si>
    <t>包含石材铺贴、缝隙清理、石材表面清理等</t>
  </si>
  <si>
    <t>1.工艺：挡水石及门槛石安装：挡水石槽中满填石材粘接剂→砖槽内满铺粘接剂（砖槽深度大于40mm时需先铺一层水泥砂浆），将挡水石嵌入砖槽中压实铺平→根据现场基层情况确认嵌入深度（石材高出瓷砖面40mm）→石材四周留2mm缝隙
2.合格标准：钻石型淋浴房挡水石安装成135°淋浴房挡水石不能压地漏，门槛石高于客厅瓷砖面或者卧室木地板3mm比卫生间砖面高10mm。</t>
  </si>
  <si>
    <t>弧形区域石材翻边</t>
  </si>
  <si>
    <t>+45</t>
  </si>
  <si>
    <t>按延长米计算,最低收费7米</t>
  </si>
  <si>
    <t>石材异型加工及安装</t>
  </si>
  <si>
    <t>1.工艺：清理瓷砖表面→墙面找平层检查→水泥扫浆→测量定位→材料预排→标高定位→大理石胶泥搅拌→批刮胶泥→石材粘贴→现场清理→施工自检；
2.合格标准：接缝处高差1mm以内，整条长边误差2mm以内；</t>
  </si>
  <si>
    <t>包含室内垃圾清理，清运至物业指定地点，现场5S维护等</t>
  </si>
  <si>
    <t>1.仅包含有电梯的小区室内垃圾清理，清运至物业指定地点，现场5S维护等；
2.不含建渣外运及物业特殊要求的建渣处理，如需外运费用另计。</t>
  </si>
  <si>
    <t>建渣集中清理</t>
  </si>
  <si>
    <t>按合同面积计算，最低收费1000元/户</t>
  </si>
  <si>
    <t>适用范围：仅限物业要求需要定时清理建渣到小区内建渣池的项目</t>
  </si>
  <si>
    <t>1.适用范围：仅限物业要求需要定时清理建渣到小区内建渣池的项目。</t>
  </si>
  <si>
    <t>建渣外运（纯建渣）</t>
  </si>
  <si>
    <t>车</t>
  </si>
  <si>
    <t>按车计算
100平米以内4车，每50平米一个阶梯增加1车。
不含打拆阶段建渣，打拆建渣按打拆数量计算。</t>
  </si>
  <si>
    <t>适用范围：仅限小区内无建渣池客户要求我方外运建渣的项目</t>
  </si>
  <si>
    <t>1.仅限小区内无建渣池的垃圾外运；
2.建渣车数按以下标准计算：150平米以内：6车；200平米以内：8车；200平米以上：10车。
3.特殊情况另行商议。</t>
  </si>
  <si>
    <t>按楼层面积计算</t>
  </si>
  <si>
    <t>仅包含建渣装袋人工搬运至物业指定的小区内建渣池，台阶&gt;3级的需计算费用</t>
  </si>
  <si>
    <t>1.仅包含建渣装袋人工搬运至物业指定的小区内建渣池，台阶&gt;3级的需计算费用。</t>
  </si>
  <si>
    <t>无电梯建渣上下楼搬运费（搬运2-3层）</t>
  </si>
  <si>
    <t>无电梯建渣上下楼搬运费（搬运4层以上）</t>
  </si>
  <si>
    <t>适用范围：
1）建渣池不在小区内的；
2）无法直接用小推车需要从地下室转运建渣至地面的；
3）小区内无建渣池需要转运至小区外物业制定地点的。</t>
  </si>
  <si>
    <t>1.适用范围：
1）建渣池不在小区内的；
2）无法直接用小推车需要从地下室转运建渣至地面的；
3）小区内无建渣池需要转运至小区外物业制定地点的。
2.建渣车数按以下标准计算：150平米以内：6车；200平米以内：8车；200平米以上：10车。
3.特殊情况另行商议。</t>
  </si>
  <si>
    <t>对施工现场进行初步清洁，确保现场基本洁净，满足成品安装条件</t>
  </si>
  <si>
    <t>1.门窗保洁：入户门保护膜保留，保护膜、胶、残留物清理，门框凹槽无杂物；
2.墙顶地面保洁：瓷砖保护膜清理、垃圾清理、残留物清理、砖缝里杂物清理，地面石膏、腻子、水泥河沙、凸出物使用铲刀吸尘器清理物料优先放生活阳台，无生活阳台放景观阳台，摆放整齐，垃圾集中装袋处理带走；
注意：保洁施工时务必小心，避免产品碰损、二次污染等，离开前请认真检查门窗、水电是否关好。</t>
  </si>
  <si>
    <t>对现场深度清洁，确保清洁完成后现场清洁干净，无灰尘，无污渍，无水渍，达到交付标准</t>
  </si>
  <si>
    <t>1.入户门保护膜清除，表面擦拭干净，无灰尘，无污染，凹凸部位无藏灰，锁眼干净无堵塞；
2.窗框、轨道、纱窗、玻璃、花架清洁干净无灰尘；
3.五金洁具清洁到位表面光亮无污染，能照出人影；
4.门及锁把手清洁到位干净无杂质；
5.墙面踢脚线无灰尘，污渍，涂料点，电源盒里外干净，无杂物，开关面板干净无水渍；
6.室内地面无灰层无杂质无垃圾无污染；
7.室内墙面光亮、干净、用手触摸检查无灰层附着；
8.木地板、瓷砖、台面无灰尘，无水渍，无漆点有光泽等。</t>
  </si>
  <si>
    <t>楼梯防护栏焊接</t>
  </si>
  <si>
    <t>一般用于别墅无防护结构的楼梯（防护栏焊接高1.3m）</t>
  </si>
  <si>
    <t>1.一般用于别墅无防护结构的楼梯（防护栏焊接高1.3m）</t>
  </si>
  <si>
    <t>搭建临时楼梯</t>
  </si>
  <si>
    <t>按跨数计算，从一楼到二楼算一跨
两跨及以上，每增加一跨增加2500元</t>
  </si>
  <si>
    <t>1.适用范围：跃层、复式结构或别墅等无室内楼梯的户型；
2.搭建方式：木板或钢架楼梯框架+踏板。</t>
  </si>
  <si>
    <t>超高施工（局部超高）</t>
  </si>
  <si>
    <t>包含安全措施、高空作业人工补贴</t>
  </si>
  <si>
    <t>按超高区域地面面积计算</t>
  </si>
  <si>
    <t>按项计算，包含移动脚手架
不含满堂红脚手架，满屋脚手架费用另计。</t>
  </si>
  <si>
    <t>包含超高区域搭建移动脚手架、超高施工安全措施，及脚手架拆除</t>
  </si>
  <si>
    <t>1.要求搭接牢固无安全隐患。</t>
  </si>
  <si>
    <t>超高施工脚手架及安全措施费（层高8米以内）</t>
  </si>
  <si>
    <t>超高施工脚手架及安全措施费（层高8米以上）</t>
  </si>
  <si>
    <t>按项计算
以火车南站为坐标原点
I类区域：
一绕以内(四环)南至二绕以内(五环)区域,不计远程费</t>
  </si>
  <si>
    <t>远程范围：成都市绕城高速(一绕)以外区域，南门延至二绕以外区域</t>
  </si>
  <si>
    <t>远程施工费（II类区域）</t>
  </si>
  <si>
    <t>按项计算
以火车南站为坐标原点
II类区域：
一绕以外(四环)南至二绕以外(五环)区域，
温江、青白江、龙泉、郫都、新都，7000元/户</t>
  </si>
  <si>
    <t>远程施工费（III类区域）</t>
  </si>
  <si>
    <t>按项计算
以火车南站为坐标原点
III类区域：
二绕以外(五环)，金堂、彭州(三绕内)、崇州、大邑、邛崃、新津，30000元/户，接单面积150平米以上</t>
  </si>
  <si>
    <t>远程施工费（IV类区域）</t>
  </si>
  <si>
    <t>按项计算
以火车南站为坐标原点
IV类区域：
眉山、都江堰、德阳，50000元/户，接单面积200平米以上</t>
  </si>
  <si>
    <t>远程施工费（V类区域）</t>
  </si>
  <si>
    <t>按项计算
以火车南站为坐标原点
V类区域：超远项目
峨眉山、绵阳、自贡，80000元/户，接单面积300平米以上
以上范围外，费用另议。</t>
  </si>
  <si>
    <t>精放线点工</t>
  </si>
  <si>
    <t>工日</t>
  </si>
  <si>
    <t>按工日数计算</t>
  </si>
  <si>
    <t>只限于无法按计件工程量方式结算工资，如：现场管理、日常保洁、物料搬运、零星打拆、建渣清运、5S维护等</t>
  </si>
  <si>
    <t>只限于无法按计件工程量方式计算的零星工程，如：物料搬运、零星打拆、建渣清运、5S维护等</t>
  </si>
  <si>
    <t>打拆点工</t>
  </si>
  <si>
    <t>只限于无法按计件工程量方式结算工资，如：整改(含拆除)、成品安装、售后维修、软装施工、临时紧急情况突击等</t>
  </si>
  <si>
    <t>只限于无法按计件工程量方式计算的零星工程，如：零星砌筑、零星改造、零星安装等</t>
  </si>
  <si>
    <t>砌墙/抹灰点工</t>
  </si>
  <si>
    <t>水电点工</t>
  </si>
  <si>
    <t>瓦工找平点工</t>
  </si>
  <si>
    <t>电焊点工</t>
  </si>
  <si>
    <t>木工点工</t>
  </si>
  <si>
    <t>贴砖点工</t>
  </si>
  <si>
    <t>油工点工</t>
  </si>
  <si>
    <t>安装点工</t>
  </si>
  <si>
    <t>主材运输费</t>
  </si>
  <si>
    <t>按合同面积计算，指有电梯材料运输搬运，无电梯搬运费用另计</t>
  </si>
  <si>
    <t>适用范围：仅限有电梯的项目</t>
  </si>
  <si>
    <t>按合同面积计算
无电梯搬运费用另计</t>
  </si>
  <si>
    <t>1.仅包含有电梯的小区材料运输费用，无电梯小区费用另计。</t>
  </si>
  <si>
    <t>按上楼面积计算
指无电梯搬运
（从起步楼层1楼算起，2、3楼21元/平米，4楼及以上每增加一层加5元/平米/层）</t>
  </si>
  <si>
    <t>适用范围：仅限无电梯项目和户内有楼梯需人工二次搬运的项目</t>
  </si>
  <si>
    <t>1.仅包含无电梯材料搬运费。</t>
  </si>
  <si>
    <t>无电梯楼层材料搬运费（辅材）
（4楼及以上）</t>
  </si>
  <si>
    <t>元/㎡/层</t>
  </si>
  <si>
    <t>按上楼面积计算*楼层数计算
（4楼及以上每层加5元/平米）</t>
  </si>
  <si>
    <t>材料二次运输费
（非专车派送费）</t>
  </si>
  <si>
    <t>次</t>
  </si>
  <si>
    <t>按单边次数计算，主要指因变更需要的退补料运输，非专车配送，若需专车配送则费用另计（瓷砖40平米以内，超出则按专车计算）
不含无电梯的上楼费</t>
  </si>
  <si>
    <t>因客户需求(变更)需单独退补材料的</t>
  </si>
  <si>
    <t>1.因客户需求(变更)需单独运送材料的。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</si>
</sst>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</font>
    <font>
      <sz val="11"/>
      <color rgb="FF00B050"/>
      <name val="宋体"/>
      <charset val="134"/>
    </font>
    <font>
      <sz val="11"/>
      <color rgb="FFFF0000"/>
      <name val="宋体"/>
      <charset val="134"/>
    </font>
    <font>
      <b/>
      <sz val="11"/>
      <color rgb="FF00B050"/>
      <name val="宋体"/>
      <charset val="134"/>
    </font>
    <font>
      <b/>
      <sz val="14"/>
      <color rgb="FFFF0000"/>
      <name val="宋体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1" tint="0.0499893185216834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name val="微软雅黑"/>
      <charset val="134"/>
    </font>
    <font>
      <sz val="9"/>
      <color theme="1"/>
      <name val="微软雅黑"/>
      <charset val="134"/>
    </font>
    <font>
      <b/>
      <sz val="9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ambri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23" applyNumberFormat="0" applyAlignment="0" applyProtection="0">
      <alignment vertical="center"/>
    </xf>
    <xf numFmtId="0" fontId="29" fillId="11" borderId="24" applyNumberFormat="0" applyAlignment="0" applyProtection="0">
      <alignment vertical="center"/>
    </xf>
    <xf numFmtId="0" fontId="30" fillId="11" borderId="23" applyNumberFormat="0" applyAlignment="0" applyProtection="0">
      <alignment vertical="center"/>
    </xf>
    <xf numFmtId="0" fontId="31" fillId="12" borderId="25" applyNumberFormat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0" fillId="0" borderId="0"/>
    <xf numFmtId="0" fontId="39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12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5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" xfId="5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8" xfId="50" applyNumberFormat="1" applyFont="1" applyFill="1" applyBorder="1" applyAlignment="1">
      <alignment horizontal="center" vertical="center" wrapText="1"/>
    </xf>
    <xf numFmtId="0" fontId="6" fillId="0" borderId="5" xfId="51" applyFont="1" applyFill="1" applyBorder="1" applyAlignment="1">
      <alignment vertical="center" wrapText="1"/>
    </xf>
    <xf numFmtId="0" fontId="8" fillId="0" borderId="5" xfId="51" applyFont="1" applyFill="1" applyBorder="1" applyAlignment="1">
      <alignment horizontal="center" vertical="center" wrapText="1"/>
    </xf>
    <xf numFmtId="0" fontId="3" fillId="0" borderId="9" xfId="50" applyFont="1" applyFill="1" applyBorder="1" applyAlignment="1">
      <alignment vertical="center" wrapText="1"/>
    </xf>
    <xf numFmtId="0" fontId="3" fillId="0" borderId="5" xfId="50" applyFont="1" applyFill="1" applyBorder="1" applyAlignment="1">
      <alignment vertical="center" wrapText="1"/>
    </xf>
    <xf numFmtId="0" fontId="9" fillId="0" borderId="10" xfId="50" applyFont="1" applyFill="1" applyBorder="1" applyAlignment="1">
      <alignment vertical="center" wrapText="1"/>
    </xf>
    <xf numFmtId="0" fontId="10" fillId="0" borderId="5" xfId="51" applyFont="1" applyFill="1" applyBorder="1" applyAlignment="1">
      <alignment horizontal="left" vertical="center" wrapText="1"/>
    </xf>
    <xf numFmtId="0" fontId="6" fillId="0" borderId="5" xfId="49" applyFont="1" applyFill="1" applyBorder="1" applyAlignment="1">
      <alignment vertical="center" wrapText="1"/>
    </xf>
    <xf numFmtId="0" fontId="11" fillId="0" borderId="5" xfId="52" applyFont="1" applyFill="1" applyBorder="1" applyAlignment="1" applyProtection="1">
      <alignment horizontal="center" vertical="center" wrapText="1" shrinkToFit="1"/>
    </xf>
    <xf numFmtId="0" fontId="6" fillId="0" borderId="5" xfId="50" applyFont="1" applyFill="1" applyBorder="1" applyAlignment="1">
      <alignment vertical="center" wrapText="1"/>
    </xf>
    <xf numFmtId="0" fontId="8" fillId="0" borderId="5" xfId="50" applyFont="1" applyFill="1" applyBorder="1" applyAlignment="1">
      <alignment horizontal="center" vertical="center" wrapText="1"/>
    </xf>
    <xf numFmtId="0" fontId="10" fillId="0" borderId="5" xfId="50" applyFont="1" applyFill="1" applyBorder="1" applyAlignment="1">
      <alignment vertical="center" wrapText="1"/>
    </xf>
    <xf numFmtId="0" fontId="3" fillId="0" borderId="11" xfId="50" applyFont="1" applyFill="1" applyBorder="1" applyAlignment="1">
      <alignment vertical="center" wrapText="1"/>
    </xf>
    <xf numFmtId="0" fontId="9" fillId="0" borderId="12" xfId="50" applyFont="1" applyFill="1" applyBorder="1" applyAlignment="1">
      <alignment vertical="center" wrapText="1"/>
    </xf>
    <xf numFmtId="0" fontId="6" fillId="2" borderId="5" xfId="5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0" fontId="11" fillId="0" borderId="5" xfId="52" applyFont="1" applyFill="1" applyBorder="1" applyAlignment="1">
      <alignment horizontal="center" vertical="center" wrapText="1"/>
    </xf>
    <xf numFmtId="0" fontId="6" fillId="0" borderId="5" xfId="52" applyFont="1" applyFill="1" applyBorder="1" applyAlignment="1">
      <alignment horizontal="left" vertical="center" wrapText="1"/>
    </xf>
    <xf numFmtId="0" fontId="6" fillId="0" borderId="5" xfId="52" applyFont="1" applyFill="1" applyBorder="1" applyAlignment="1">
      <alignment vertical="center" wrapText="1"/>
    </xf>
    <xf numFmtId="0" fontId="6" fillId="0" borderId="5" xfId="5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vertical="center" wrapText="1"/>
    </xf>
    <xf numFmtId="0" fontId="8" fillId="0" borderId="5" xfId="5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left" vertical="center" wrapText="1"/>
    </xf>
    <xf numFmtId="0" fontId="16" fillId="6" borderId="15" xfId="0" applyFont="1" applyFill="1" applyBorder="1" applyAlignment="1">
      <alignment horizontal="center" vertical="center"/>
    </xf>
    <xf numFmtId="43" fontId="16" fillId="6" borderId="15" xfId="0" applyNumberFormat="1" applyFont="1" applyFill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/>
    </xf>
    <xf numFmtId="43" fontId="12" fillId="0" borderId="5" xfId="0" applyNumberFormat="1" applyFont="1" applyFill="1" applyBorder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43" fontId="12" fillId="0" borderId="5" xfId="0" applyNumberFormat="1" applyFont="1" applyBorder="1" applyAlignment="1">
      <alignment vertical="center"/>
    </xf>
    <xf numFmtId="0" fontId="12" fillId="0" borderId="15" xfId="0" applyFont="1" applyFill="1" applyBorder="1" applyAlignment="1">
      <alignment horizontal="left" vertical="center" wrapText="1"/>
    </xf>
    <xf numFmtId="9" fontId="12" fillId="0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 wrapText="1"/>
    </xf>
    <xf numFmtId="176" fontId="12" fillId="2" borderId="5" xfId="0" applyNumberFormat="1" applyFont="1" applyFill="1" applyBorder="1" applyAlignment="1">
      <alignment horizontal="center" vertical="center"/>
    </xf>
    <xf numFmtId="43" fontId="12" fillId="2" borderId="5" xfId="0" applyNumberFormat="1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vertical="center"/>
    </xf>
    <xf numFmtId="0" fontId="12" fillId="7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16" fillId="6" borderId="15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left" vertical="center" wrapText="1"/>
    </xf>
    <xf numFmtId="0" fontId="17" fillId="0" borderId="11" xfId="0" applyFont="1" applyFill="1" applyBorder="1" applyAlignment="1">
      <alignment horizontal="left"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/>
    </xf>
    <xf numFmtId="0" fontId="18" fillId="6" borderId="16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left" vertical="center" wrapText="1"/>
    </xf>
    <xf numFmtId="0" fontId="16" fillId="8" borderId="18" xfId="0" applyFont="1" applyFill="1" applyBorder="1" applyAlignment="1">
      <alignment horizontal="center" vertical="center"/>
    </xf>
    <xf numFmtId="43" fontId="16" fillId="8" borderId="18" xfId="0" applyNumberFormat="1" applyFont="1" applyFill="1" applyBorder="1" applyAlignment="1">
      <alignment vertical="center"/>
    </xf>
    <xf numFmtId="9" fontId="16" fillId="6" borderId="18" xfId="0" applyNumberFormat="1" applyFont="1" applyFill="1" applyBorder="1" applyAlignment="1">
      <alignment horizontal="left" vertical="center" wrapText="1"/>
    </xf>
    <xf numFmtId="0" fontId="16" fillId="6" borderId="18" xfId="0" applyFont="1" applyFill="1" applyBorder="1" applyAlignment="1">
      <alignment horizontal="center" vertical="center"/>
    </xf>
    <xf numFmtId="43" fontId="16" fillId="6" borderId="18" xfId="0" applyNumberFormat="1" applyFont="1" applyFill="1" applyBorder="1" applyAlignment="1">
      <alignment vertical="center"/>
    </xf>
    <xf numFmtId="0" fontId="16" fillId="6" borderId="18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/>
    </xf>
    <xf numFmtId="43" fontId="12" fillId="2" borderId="15" xfId="0" applyNumberFormat="1" applyFont="1" applyFill="1" applyBorder="1" applyAlignment="1">
      <alignment vertical="center"/>
    </xf>
    <xf numFmtId="0" fontId="16" fillId="0" borderId="19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 wrapText="1"/>
    </xf>
    <xf numFmtId="0" fontId="19" fillId="0" borderId="5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vertical="center"/>
    </xf>
    <xf numFmtId="0" fontId="18" fillId="8" borderId="18" xfId="0" applyFont="1" applyFill="1" applyBorder="1" applyAlignment="1">
      <alignment horizontal="left" vertical="center"/>
    </xf>
    <xf numFmtId="0" fontId="18" fillId="8" borderId="17" xfId="0" applyFont="1" applyFill="1" applyBorder="1" applyAlignment="1">
      <alignment horizontal="left" vertical="center"/>
    </xf>
    <xf numFmtId="0" fontId="13" fillId="7" borderId="0" xfId="0" applyFont="1" applyFill="1" applyAlignment="1">
      <alignment vertical="center"/>
    </xf>
    <xf numFmtId="0" fontId="18" fillId="6" borderId="18" xfId="0" applyFont="1" applyFill="1" applyBorder="1" applyAlignment="1">
      <alignment horizontal="left" vertical="center"/>
    </xf>
    <xf numFmtId="0" fontId="18" fillId="6" borderId="17" xfId="0" applyFont="1" applyFill="1" applyBorder="1" applyAlignment="1">
      <alignment horizontal="left" vertical="center"/>
    </xf>
    <xf numFmtId="43" fontId="13" fillId="2" borderId="15" xfId="0" applyNumberFormat="1" applyFont="1" applyFill="1" applyBorder="1" applyAlignment="1">
      <alignment vertical="center"/>
    </xf>
    <xf numFmtId="0" fontId="12" fillId="2" borderId="15" xfId="0" applyFont="1" applyFill="1" applyBorder="1" applyAlignment="1">
      <alignment horizontal="left" vertical="center" wrapText="1"/>
    </xf>
    <xf numFmtId="0" fontId="17" fillId="2" borderId="15" xfId="0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 2" xfId="51"/>
    <cellStyle name="常规 3" xfId="52"/>
    <cellStyle name="常规 7" xfId="53"/>
  </cellStyles>
  <tableStyles count="0" defaultTableStyle="TableStyleMedium2" defaultPivotStyle="PivotStyleMedium9"/>
  <colors>
    <mruColors>
      <color rgb="00FFCCCC"/>
      <color rgb="0066CCFF"/>
      <color rgb="00F8F8F8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0013;&#24515;\&#21608;&#20029;\&#24120;&#29992;&#27169;&#26495;\&#39044;&#31639;&#21450;&#39044;&#31639;&#20998;&#26512;&#27169;&#26495;2021.8\&#12304;PM2.0&#12305;&#12304;&#23450;&#39069;_V4.6&#29256;&#12305;&#39033;&#30446;&#32534;&#30721;%20-%20(&#23458;&#25143;&#22995;&#21517;)--&#25104;&#37117;&#39033;&#30446;&#39044;&#31639;&#20070;_2021.7.31&#87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0013;&#24515;\&#12304;my%20work&#12305;\03%20&#12304;X&#21916;&#40522;&#12305;&#39033;&#30446;&#36807;&#31243;&#32467;&#31639;\06%20&#39033;&#30446;&#20027;&#25968;&#25454;\&#21916;&#40522;&#29983;&#27963;_&#31934;&#35013;&#39033;&#30446;&#20027;&#25968;&#25454;_V21.03.20&#12304;&#26356;&#26032;&#1230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0013;&#24515;\02%20Cost%20Department%20Performance%20plan\2022&#24180;&#24230;\06-&#19994;&#21153;%20&#27969;&#31243;&amp;&#26631;&#20934;%202022%20&#9734;&#9734;&#9734;\1.2%20&#12304;&#31934;&#183;&#35013;&#12305;&#25253;&#20215;&#26631;&#20934;\&#21916;&#40522;&#183;&#26045;&#24037;&#26381;&#21153;&#25910;&#36153;&#26631;&#20934;&#12304;V6.5%20&amp;%20V2.1&#12305;_2022.2.18&#25191;&#34892;%20&#8730;\02-&#21916;&#40522;&#183;&#12304;&#25104;&#26412;&#23450;&#39069;&amp;&#25253;&#20215;&#12305;_2021.4.30&#21457;&#24067;&#65288;5.1&#25191;&#34892;&#65289;%20&#8730;&#65288;&#25104;&#26412;&#27979;&#31639;&#27169;&#22411;&#21516;&#27493;&#20248;&#21270;&#65289;2022.2.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0013;&#24515;\Users\Administrator\Desktop\02-&#21916;&#40522;&#183;&#12304;&#25104;&#26412;&#23450;&#39069;&amp;&#25253;&#20215;&#12305;_2021.4.30&#21457;&#24067;&#65288;5.1&#25191;&#34892;&#65289;%20&#8730;&#65288;&#25104;&#26412;&#27979;&#31639;&#27169;&#22411;&#21516;&#27493;&#20248;&#21270;&#65289;2022.2.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成本交底封面"/>
      <sheetName val="项目预算书"/>
      <sheetName val="柜体计算式"/>
      <sheetName val="厨房柜体单价"/>
      <sheetName val="厨房五金单价"/>
      <sheetName val="台面单价"/>
      <sheetName val="卫浴柜单价"/>
      <sheetName val="柜体参数表"/>
      <sheetName val="成本汇总"/>
      <sheetName val="变更、异常部分"/>
      <sheetName val="工程量清单"/>
      <sheetName val="主材用量清单"/>
      <sheetName val="XQ"/>
      <sheetName val="FWS"/>
      <sheetName val="参数表"/>
      <sheetName val="主材损耗率"/>
      <sheetName val="产品库"/>
      <sheetName val="饰面板"/>
      <sheetName val="软硬包"/>
      <sheetName val="岩板"/>
      <sheetName val="发料节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数据表"/>
      <sheetName val="数据分析表"/>
      <sheetName val="清单模式项目信息"/>
      <sheetName val="X3项目负责人"/>
      <sheetName val="X4项目负责人"/>
      <sheetName val="参数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-【总】施工成本及销售标准"/>
      <sheetName val="1-2 定额组【5.0】"/>
      <sheetName val="1-1 定额【5.0】"/>
      <sheetName val="1-02 工时V7.0版"/>
      <sheetName val="1-01 产品库"/>
      <sheetName val="水电标准"/>
      <sheetName val="1-03 辅材用量-【调度】"/>
      <sheetName val="变更规则&amp;费用归属"/>
      <sheetName val="2.非标服务收费"/>
      <sheetName val="2.非标服务标准 (2)"/>
      <sheetName val="2-测算模型-基装"/>
      <sheetName val="3-工站成本-汇总"/>
      <sheetName val="4-各套餐结算价"/>
      <sheetName val="5-精装套餐品类调价影响 (3)"/>
      <sheetName val="5-精装套餐品类调价影响 (2)"/>
      <sheetName val="5-精装套餐品类调价影响"/>
      <sheetName val="【总】精装套餐产品矩阵V1.0"/>
      <sheetName val="2-1 施工面积"/>
      <sheetName val="2-3 参数表"/>
      <sheetName val="2-2 面积区间占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-【总】施工成本及销售标准"/>
      <sheetName val="1-2 定额组【5.0】"/>
      <sheetName val="1-1 定额【5.0】"/>
      <sheetName val="1-02 工时V7.0版"/>
      <sheetName val="1-01 产品库"/>
      <sheetName val="水电标准"/>
      <sheetName val="1-03 辅材用量-【调度】"/>
      <sheetName val="变更规则&amp;费用归属"/>
      <sheetName val="2.非标服务收费"/>
      <sheetName val="2.非标服务标准 (2)"/>
      <sheetName val="2-测算模型-基装"/>
      <sheetName val="3-工站成本-汇总"/>
      <sheetName val="4-各套餐结算价"/>
      <sheetName val="5-精装套餐品类调价影响 (3)"/>
      <sheetName val="5-精装套餐品类调价影响 (2)"/>
      <sheetName val="5-精装套餐品类调价影响"/>
      <sheetName val="【总】精装套餐产品矩阵V1.0"/>
      <sheetName val="2-1 施工面积"/>
      <sheetName val="2-3 参数表"/>
      <sheetName val="2-2 面积区间占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M179"/>
  <sheetViews>
    <sheetView tabSelected="1" view="pageBreakPreview" zoomScale="47" zoomScaleNormal="85" workbookViewId="0">
      <pane ySplit="2" topLeftCell="A82" activePane="bottomLeft" state="frozen"/>
      <selection/>
      <selection pane="bottomLeft" activeCell="N166" sqref="N166"/>
    </sheetView>
  </sheetViews>
  <sheetFormatPr defaultColWidth="8.89090909090909" defaultRowHeight="16.5"/>
  <cols>
    <col min="1" max="1" width="7.78181818181818" style="48" customWidth="1"/>
    <col min="2" max="2" width="29.4454545454545" style="51" customWidth="1"/>
    <col min="3" max="3" width="8.89090909090909" style="48"/>
    <col min="4" max="5" width="13.5545454545455" style="48" customWidth="1"/>
    <col min="6" max="6" width="13.7818181818182" style="48" customWidth="1"/>
    <col min="7" max="7" width="13.7818181818182" style="52" customWidth="1"/>
    <col min="8" max="8" width="10.7818181818182" style="52" customWidth="1"/>
    <col min="9" max="9" width="21.1090909090909" style="52" customWidth="1"/>
    <col min="10" max="10" width="31.7818181818182" style="51" customWidth="1" outlineLevel="1"/>
    <col min="11" max="11" width="12.7818181818182" style="53" customWidth="1"/>
    <col min="12" max="12" width="38.3363636363636" style="53" customWidth="1"/>
    <col min="13" max="13" width="11.5545454545455" style="52" customWidth="1"/>
    <col min="14" max="16384" width="8.89090909090909" style="52"/>
  </cols>
  <sheetData>
    <row r="1" ht="42" customHeight="1" spans="2:13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74" t="s">
        <v>1</v>
      </c>
      <c r="L1" s="75"/>
      <c r="M1" s="76"/>
    </row>
    <row r="2" s="48" customFormat="1" ht="27" customHeight="1" spans="1:13">
      <c r="A2" s="55" t="s">
        <v>2</v>
      </c>
      <c r="B2" s="56" t="s">
        <v>3</v>
      </c>
      <c r="C2" s="55" t="s">
        <v>4</v>
      </c>
      <c r="D2" s="55" t="s">
        <v>5</v>
      </c>
      <c r="E2" s="55" t="s">
        <v>6</v>
      </c>
      <c r="F2" s="55" t="s">
        <v>7</v>
      </c>
      <c r="G2" s="55" t="s">
        <v>8</v>
      </c>
      <c r="H2" s="55" t="s">
        <v>9</v>
      </c>
      <c r="I2" s="55" t="s">
        <v>10</v>
      </c>
      <c r="J2" s="56" t="s">
        <v>11</v>
      </c>
      <c r="K2" s="55" t="s">
        <v>12</v>
      </c>
      <c r="L2" s="55"/>
      <c r="M2" s="77"/>
    </row>
    <row r="3" ht="27" customHeight="1" spans="1:13">
      <c r="A3" s="57" t="s">
        <v>13</v>
      </c>
      <c r="B3" s="58"/>
      <c r="C3" s="59"/>
      <c r="D3" s="59"/>
      <c r="E3" s="59"/>
      <c r="F3" s="59"/>
      <c r="G3" s="60"/>
      <c r="H3" s="60"/>
      <c r="I3" s="60">
        <f>SUM(I4:I22)</f>
        <v>0</v>
      </c>
      <c r="J3" s="58"/>
      <c r="K3" s="78"/>
      <c r="L3" s="79"/>
      <c r="M3" s="76"/>
    </row>
    <row r="4" ht="30" customHeight="1" outlineLevel="1" spans="1:13">
      <c r="A4" s="61">
        <f t="shared" ref="A4:A11" si="0">+ROW()-ROW($A$3)</f>
        <v>1</v>
      </c>
      <c r="B4" s="62" t="s">
        <v>14</v>
      </c>
      <c r="C4" s="63" t="str">
        <f>VLOOKUP(B4,'报价表 最新'!A:B,2,0)</f>
        <v>平米</v>
      </c>
      <c r="D4" s="63"/>
      <c r="E4" s="63"/>
      <c r="F4" s="63"/>
      <c r="G4" s="64"/>
      <c r="H4" s="64"/>
      <c r="I4" s="64"/>
      <c r="J4" s="80" t="str">
        <f>VLOOKUP(B4,'报价表 最新'!A:F,4,0)</f>
        <v>按拆除面积计算，厚度超出部分按比例折算</v>
      </c>
      <c r="K4" s="81" t="str">
        <f>VLOOKUP(B4,'报价表 最新'!A:F,5,0)</f>
        <v>拆除120墙体</v>
      </c>
      <c r="L4" s="82"/>
      <c r="M4" s="76"/>
    </row>
    <row r="5" ht="40.2" customHeight="1" outlineLevel="1" spans="1:13">
      <c r="A5" s="61">
        <f t="shared" si="0"/>
        <v>2</v>
      </c>
      <c r="B5" s="62" t="s">
        <v>15</v>
      </c>
      <c r="C5" s="63" t="str">
        <f>VLOOKUP(B5,'报价表 最新'!A:B,2,0)</f>
        <v>平米</v>
      </c>
      <c r="D5" s="63"/>
      <c r="E5" s="63"/>
      <c r="F5" s="63"/>
      <c r="G5" s="64"/>
      <c r="H5" s="64"/>
      <c r="I5" s="64"/>
      <c r="J5" s="80" t="str">
        <f>VLOOKUP(B5,'报价表 最新'!A:F,4,0)</f>
        <v>按拆除面积计算，厚度超出部分按比例折算</v>
      </c>
      <c r="K5" s="81" t="str">
        <f>VLOOKUP(B5,'报价表 最新'!A:F,5,0)</f>
        <v>拆除240墙体</v>
      </c>
      <c r="L5" s="82"/>
      <c r="M5" s="76"/>
    </row>
    <row r="6" ht="45.6" customHeight="1" outlineLevel="1" spans="1:13">
      <c r="A6" s="61">
        <f t="shared" si="0"/>
        <v>3</v>
      </c>
      <c r="B6" s="62" t="s">
        <v>16</v>
      </c>
      <c r="C6" s="63" t="str">
        <f>VLOOKUP(B6,'报价表 最新'!A:B,2,0)</f>
        <v>平米</v>
      </c>
      <c r="D6" s="63"/>
      <c r="E6" s="63"/>
      <c r="F6" s="63"/>
      <c r="G6" s="64"/>
      <c r="H6" s="64"/>
      <c r="I6" s="64"/>
      <c r="J6" s="80" t="str">
        <f>VLOOKUP(B6,'报价表 最新'!A:F,4,0)</f>
        <v>按拆除面积计算</v>
      </c>
      <c r="K6" s="81" t="str">
        <f>VLOOKUP(B6,'报价表 最新'!A:F,5,0)</f>
        <v>拆除保温层或外墙漆</v>
      </c>
      <c r="L6" s="82"/>
      <c r="M6" s="76"/>
    </row>
    <row r="7" ht="40.2" customHeight="1" outlineLevel="1" spans="1:13">
      <c r="A7" s="61">
        <f t="shared" si="0"/>
        <v>4</v>
      </c>
      <c r="B7" s="62" t="s">
        <v>17</v>
      </c>
      <c r="C7" s="63" t="str">
        <f>VLOOKUP(B7,'报价表 最新'!A:B,2,0)</f>
        <v>平米</v>
      </c>
      <c r="D7" s="63"/>
      <c r="E7" s="63"/>
      <c r="F7" s="63"/>
      <c r="G7" s="64"/>
      <c r="H7" s="64"/>
      <c r="I7" s="64"/>
      <c r="J7" s="80" t="str">
        <f>VLOOKUP(B7,'报价表 最新'!A:F,4,0)</f>
        <v>按拆除面积计算</v>
      </c>
      <c r="K7" s="81" t="str">
        <f>VLOOKUP(B7,'报价表 最新'!A:F,5,0)</f>
        <v>拆除外墙砖</v>
      </c>
      <c r="L7" s="82"/>
      <c r="M7" s="76"/>
    </row>
    <row r="8" ht="30" customHeight="1" outlineLevel="1" spans="1:13">
      <c r="A8" s="61">
        <f t="shared" si="0"/>
        <v>5</v>
      </c>
      <c r="B8" s="62" t="s">
        <v>18</v>
      </c>
      <c r="C8" s="63" t="str">
        <f>VLOOKUP(B8,'报价表 最新'!A:B,2,0)</f>
        <v>步</v>
      </c>
      <c r="D8" s="63"/>
      <c r="E8" s="63"/>
      <c r="F8" s="63"/>
      <c r="G8" s="64"/>
      <c r="H8" s="64"/>
      <c r="I8" s="64"/>
      <c r="J8" s="80" t="str">
        <f>VLOOKUP(B8,'报价表 最新'!A:F,4,0)</f>
        <v>按踏步数计算</v>
      </c>
      <c r="K8" s="81" t="str">
        <f>VLOOKUP(B8,'报价表 最新'!A:F,5,0)</f>
        <v>包含室外/室内楼梯拆除、现场清理</v>
      </c>
      <c r="L8" s="82"/>
      <c r="M8" s="76"/>
    </row>
    <row r="9" ht="39" outlineLevel="1" spans="1:13">
      <c r="A9" s="61">
        <f t="shared" si="0"/>
        <v>6</v>
      </c>
      <c r="B9" s="62" t="s">
        <v>19</v>
      </c>
      <c r="C9" s="63" t="str">
        <f>VLOOKUP(B9,'报价表 最新'!A:B,2,0)</f>
        <v>米</v>
      </c>
      <c r="D9" s="63"/>
      <c r="E9" s="63"/>
      <c r="F9" s="63"/>
      <c r="G9" s="64"/>
      <c r="H9" s="64"/>
      <c r="I9" s="64"/>
      <c r="J9" s="80" t="str">
        <f>VLOOKUP(B9,'报价表 最新'!A:F,4,0)</f>
        <v>1.按拆除米数计算
2.最低收费2米
3.客户不要的工人自行处理，不予收费</v>
      </c>
      <c r="K9" s="81" t="str">
        <f>VLOOKUP(B9,'报价表 最新'!A:F,5,0)</f>
        <v>拆除门、门套及门套基层，拆除防护栏杆</v>
      </c>
      <c r="L9" s="82"/>
      <c r="M9" s="76"/>
    </row>
    <row r="10" ht="30" customHeight="1" outlineLevel="1" spans="1:13">
      <c r="A10" s="61">
        <f t="shared" si="0"/>
        <v>7</v>
      </c>
      <c r="B10" s="62" t="s">
        <v>20</v>
      </c>
      <c r="C10" s="63" t="str">
        <f>VLOOKUP(B10,'报价表 最新'!A:B,2,0)</f>
        <v>平米</v>
      </c>
      <c r="D10" s="63"/>
      <c r="E10" s="63"/>
      <c r="F10" s="63"/>
      <c r="G10" s="64"/>
      <c r="H10" s="64"/>
      <c r="I10" s="64"/>
      <c r="J10" s="80" t="str">
        <f>VLOOKUP(B10,'报价表 最新'!A:F,4,0)</f>
        <v>按新建面积计算</v>
      </c>
      <c r="K10" s="81" t="str">
        <f>VLOOKUP(B10,'报价表 最新'!A:F,5,0)</f>
        <v>包含铲墙皮、植筋、墙体砌筑、新旧墙体交接处挂网、墙面抹灰</v>
      </c>
      <c r="L10" s="82"/>
      <c r="M10" s="76"/>
    </row>
    <row r="11" ht="30" customHeight="1" outlineLevel="1" spans="1:13">
      <c r="A11" s="61">
        <f t="shared" si="0"/>
        <v>8</v>
      </c>
      <c r="B11" s="62" t="s">
        <v>21</v>
      </c>
      <c r="C11" s="63" t="s">
        <v>22</v>
      </c>
      <c r="D11" s="63"/>
      <c r="E11" s="63"/>
      <c r="F11" s="63"/>
      <c r="G11" s="64"/>
      <c r="H11" s="64"/>
      <c r="I11" s="64"/>
      <c r="J11" s="80" t="str">
        <f>VLOOKUP(B11,'报价表 最新'!A:F,4,0)</f>
        <v>按新建面积计算
主要用于厨卫、生活阳台及承重区域</v>
      </c>
      <c r="K11" s="81" t="str">
        <f>VLOOKUP(B11,'报价表 最新'!A:F,5,0)</f>
        <v>包含铲墙皮、植筋、墙体砌筑、新旧墙体交接处挂网、墙面抹灰</v>
      </c>
      <c r="L11" s="82"/>
      <c r="M11" s="76"/>
    </row>
    <row r="12" ht="30" customHeight="1" outlineLevel="1" spans="1:13">
      <c r="A12" s="61">
        <v>9</v>
      </c>
      <c r="B12" s="62" t="s">
        <v>23</v>
      </c>
      <c r="C12" s="63" t="s">
        <v>22</v>
      </c>
      <c r="D12" s="63"/>
      <c r="E12" s="63"/>
      <c r="F12" s="63"/>
      <c r="G12" s="64"/>
      <c r="H12" s="64"/>
      <c r="I12" s="64"/>
      <c r="J12" s="80" t="str">
        <f>VLOOKUP(B12,'报价表 最新'!A:F,4,0)</f>
        <v>按新建面积计算
主要用于厨卫、生活阳台及承重区域</v>
      </c>
      <c r="K12" s="81" t="str">
        <f>VLOOKUP(B12,'报价表 最新'!A:F,5,0)</f>
        <v>包含铲墙皮、植筋、墙体砌筑、新旧墙体交接处挂网、墙面抹灰</v>
      </c>
      <c r="L12" s="82"/>
      <c r="M12" s="76"/>
    </row>
    <row r="13" ht="30" customHeight="1" outlineLevel="1" spans="1:13">
      <c r="A13" s="61">
        <f t="shared" ref="A13:A22" si="1">+ROW()-ROW($A$3)</f>
        <v>10</v>
      </c>
      <c r="B13" s="62" t="s">
        <v>24</v>
      </c>
      <c r="C13" s="63" t="str">
        <f>VLOOKUP(B13,'报价表 最新'!A:B,2,0)</f>
        <v>平米</v>
      </c>
      <c r="D13" s="63"/>
      <c r="E13" s="63"/>
      <c r="F13" s="63"/>
      <c r="G13" s="64"/>
      <c r="H13" s="64"/>
      <c r="I13" s="64"/>
      <c r="J13" s="80" t="str">
        <f>VLOOKUP(B13,'报价表 最新'!A:F,4,0)</f>
        <v>按新建面积计算
主要用于厨卫、生活阳台及承重区域</v>
      </c>
      <c r="K13" s="81" t="str">
        <f>VLOOKUP(B13,'报价表 最新'!A:F,5,0)</f>
        <v>包含铲墙皮、植筋、墙体砌筑、新旧墙体交接处挂网、墙面抹灰</v>
      </c>
      <c r="L13" s="82"/>
      <c r="M13" s="76"/>
    </row>
    <row r="14" ht="30" customHeight="1" outlineLevel="1" spans="1:13">
      <c r="A14" s="61">
        <f t="shared" si="1"/>
        <v>11</v>
      </c>
      <c r="B14" s="62" t="s">
        <v>25</v>
      </c>
      <c r="C14" s="63" t="str">
        <f>VLOOKUP(B14,'报价表 最新'!A:B,2,0)</f>
        <v>个</v>
      </c>
      <c r="D14" s="63"/>
      <c r="E14" s="63"/>
      <c r="F14" s="63"/>
      <c r="G14" s="64"/>
      <c r="H14" s="64"/>
      <c r="I14" s="64"/>
      <c r="J14" s="80" t="str">
        <f>VLOOKUP(B14,'报价表 最新'!A:F,4,0)</f>
        <v>按个数计算</v>
      </c>
      <c r="K14" s="81" t="str">
        <f>VLOOKUP(B14,'报价表 最新'!A:F,5,0)</f>
        <v>水泥砂浆抹灰修补，适用于打拆后的门窗洞修补，不含过梁</v>
      </c>
      <c r="L14" s="82"/>
      <c r="M14" s="76"/>
    </row>
    <row r="15" ht="30" customHeight="1" outlineLevel="1" spans="1:13">
      <c r="A15" s="61">
        <f t="shared" si="1"/>
        <v>12</v>
      </c>
      <c r="B15" s="62" t="s">
        <v>26</v>
      </c>
      <c r="C15" s="63" t="str">
        <f>VLOOKUP(B15,'报价表 最新'!A:B,2,0)</f>
        <v>个</v>
      </c>
      <c r="D15" s="63"/>
      <c r="E15" s="63"/>
      <c r="F15" s="63"/>
      <c r="G15" s="64"/>
      <c r="H15" s="64"/>
      <c r="I15" s="64"/>
      <c r="J15" s="80" t="str">
        <f>VLOOKUP(B15,'报价表 最新'!A:F,4,0)</f>
        <v>按个数计算</v>
      </c>
      <c r="K15" s="81" t="str">
        <f>VLOOKUP(B15,'报价表 最新'!A:F,5,0)</f>
        <v>包含植筋、墙体砌筑、新旧墙体交接处挂网</v>
      </c>
      <c r="L15" s="82"/>
      <c r="M15" s="76"/>
    </row>
    <row r="16" ht="30" customHeight="1" outlineLevel="1" spans="1:13">
      <c r="A16" s="61">
        <f t="shared" si="1"/>
        <v>13</v>
      </c>
      <c r="B16" s="62" t="s">
        <v>27</v>
      </c>
      <c r="C16" s="63" t="str">
        <f>VLOOKUP(B16,'报价表 最新'!A:B,2,0)</f>
        <v>格</v>
      </c>
      <c r="D16" s="63"/>
      <c r="E16" s="63"/>
      <c r="F16" s="63"/>
      <c r="G16" s="64"/>
      <c r="H16" s="64"/>
      <c r="I16" s="64"/>
      <c r="J16" s="80" t="str">
        <f>VLOOKUP(B16,'报价表 最新'!A:F,4,0)</f>
        <v>按个数计算</v>
      </c>
      <c r="K16" s="81" t="str">
        <f>VLOOKUP(B16,'报价表 最新'!A:F,5,0)</f>
        <v>包含墙体砌筑、新旧墙体交接处挂网</v>
      </c>
      <c r="L16" s="82"/>
      <c r="M16" s="76"/>
    </row>
    <row r="17" ht="30" customHeight="1" outlineLevel="1" spans="1:13">
      <c r="A17" s="61">
        <f t="shared" si="1"/>
        <v>14</v>
      </c>
      <c r="B17" s="62" t="s">
        <v>28</v>
      </c>
      <c r="C17" s="63" t="str">
        <f>VLOOKUP(B17,'报价表 最新'!A:B,2,0)</f>
        <v>根</v>
      </c>
      <c r="D17" s="63"/>
      <c r="E17" s="63"/>
      <c r="F17" s="63"/>
      <c r="G17" s="64"/>
      <c r="H17" s="64"/>
      <c r="I17" s="64"/>
      <c r="J17" s="80" t="str">
        <f>VLOOKUP(B17,'报价表 最新'!A:F,4,0)</f>
        <v>按根数计算，墙厚140mm以内的墙使用1根，墙厚&gt;140mm的墙使用2根</v>
      </c>
      <c r="K17" s="81" t="str">
        <f>VLOOKUP(B17,'报价表 最新'!A:F,5,0)</f>
        <v>门洞宽900mm以内</v>
      </c>
      <c r="L17" s="82"/>
      <c r="M17" s="76"/>
    </row>
    <row r="18" ht="30" customHeight="1" outlineLevel="1" spans="1:13">
      <c r="A18" s="61">
        <f t="shared" si="1"/>
        <v>15</v>
      </c>
      <c r="B18" s="62" t="s">
        <v>29</v>
      </c>
      <c r="C18" s="63" t="str">
        <f>VLOOKUP(B18,'报价表 最新'!A:B,2,0)</f>
        <v>根</v>
      </c>
      <c r="D18" s="63"/>
      <c r="E18" s="63"/>
      <c r="F18" s="63"/>
      <c r="G18" s="64"/>
      <c r="H18" s="64"/>
      <c r="I18" s="64"/>
      <c r="J18" s="80" t="str">
        <f>VLOOKUP(B18,'报价表 最新'!A:F,4,0)</f>
        <v>按根数计算，墙厚140mm以内的墙使用1根，墙厚&gt;140mm的墙使用2根</v>
      </c>
      <c r="K18" s="81" t="str">
        <f>VLOOKUP(B18,'报价表 最新'!A:F,5,0)</f>
        <v>门洞宽1600mm以内</v>
      </c>
      <c r="L18" s="82"/>
      <c r="M18" s="76"/>
    </row>
    <row r="19" ht="30" customHeight="1" outlineLevel="1" spans="1:13">
      <c r="A19" s="61">
        <f t="shared" si="1"/>
        <v>16</v>
      </c>
      <c r="B19" s="62" t="s">
        <v>30</v>
      </c>
      <c r="C19" s="63" t="str">
        <f>VLOOKUP(B19,'报价表 最新'!A:B,2,0)</f>
        <v>根</v>
      </c>
      <c r="D19" s="63"/>
      <c r="E19" s="63"/>
      <c r="F19" s="63"/>
      <c r="G19" s="64"/>
      <c r="H19" s="64"/>
      <c r="I19" s="64"/>
      <c r="J19" s="80" t="str">
        <f>VLOOKUP(B19,'报价表 最新'!A:F,4,0)</f>
        <v>按根数计算，墙厚140mm以内的墙使用1根，墙厚&gt;140mm的墙使用2根</v>
      </c>
      <c r="K19" s="81" t="str">
        <f>VLOOKUP(B19,'报价表 最新'!A:F,5,0)</f>
        <v>门洞宽度大于2米小于2.6米的</v>
      </c>
      <c r="L19" s="82"/>
      <c r="M19" s="76"/>
    </row>
    <row r="20" ht="30" customHeight="1" outlineLevel="1" spans="1:13">
      <c r="A20" s="61">
        <f t="shared" si="1"/>
        <v>17</v>
      </c>
      <c r="B20" s="62" t="s">
        <v>31</v>
      </c>
      <c r="C20" s="63" t="str">
        <f>VLOOKUP(B20,'报价表 最新'!A:B,2,0)</f>
        <v>米</v>
      </c>
      <c r="D20" s="63"/>
      <c r="E20" s="63"/>
      <c r="F20" s="63"/>
      <c r="G20" s="64"/>
      <c r="H20" s="64"/>
      <c r="I20" s="64"/>
      <c r="J20" s="80" t="str">
        <f>VLOOKUP(B20,'报价表 最新'!A:F,4,0)</f>
        <v>按延长米计算</v>
      </c>
      <c r="K20" s="81" t="str">
        <f>VLOOKUP(B20,'报价表 最新'!A:F,5,0)</f>
        <v>门套基层制作及安装</v>
      </c>
      <c r="L20" s="82"/>
      <c r="M20" s="76"/>
    </row>
    <row r="21" ht="40.05" customHeight="1" outlineLevel="1" spans="1:13">
      <c r="A21" s="61">
        <f t="shared" si="1"/>
        <v>18</v>
      </c>
      <c r="B21" s="62" t="s">
        <v>32</v>
      </c>
      <c r="C21" s="63" t="str">
        <f>VLOOKUP(B21,'报价表 最新'!A:B,2,0)</f>
        <v>平米</v>
      </c>
      <c r="D21" s="63"/>
      <c r="E21" s="63"/>
      <c r="F21" s="63"/>
      <c r="G21" s="64"/>
      <c r="H21" s="64"/>
      <c r="I21" s="64"/>
      <c r="J21" s="80" t="str">
        <f>VLOOKUP(B21,'报价表 最新'!A:F,4,0)</f>
        <v>按施工面积计算</v>
      </c>
      <c r="K21" s="81" t="str">
        <f>VLOOKUP(B21,'报价表 最新'!A:F,5,0)</f>
        <v>双排钢架隔墙及双面封基层板施工</v>
      </c>
      <c r="L21" s="82"/>
      <c r="M21" s="76"/>
    </row>
    <row r="22" ht="30" customHeight="1" outlineLevel="1" spans="1:13">
      <c r="A22" s="61">
        <f t="shared" si="1"/>
        <v>19</v>
      </c>
      <c r="B22" s="62" t="s">
        <v>33</v>
      </c>
      <c r="C22" s="63" t="str">
        <f>VLOOKUP(B22,'报价表 最新'!A:B,2,0)</f>
        <v>平米</v>
      </c>
      <c r="D22" s="63"/>
      <c r="E22" s="63"/>
      <c r="F22" s="63"/>
      <c r="G22" s="64"/>
      <c r="H22" s="64"/>
      <c r="I22" s="64"/>
      <c r="J22" s="80" t="str">
        <f>VLOOKUP(B22,'报价表 最新'!A:F,4,0)</f>
        <v>单处空鼓面积小于1㎡按1㎡计算，大于1㎡按实际面积计算</v>
      </c>
      <c r="K22" s="81" t="str">
        <f>VLOOKUP(B22,'报价表 最新'!A:F,5,0)</f>
        <v>空鼓拆除及修复处理等</v>
      </c>
      <c r="L22" s="82"/>
      <c r="M22" s="76"/>
    </row>
    <row r="23" ht="27" customHeight="1" spans="1:13">
      <c r="A23" s="57" t="s">
        <v>34</v>
      </c>
      <c r="B23" s="58"/>
      <c r="C23" s="59"/>
      <c r="D23" s="59"/>
      <c r="E23" s="59"/>
      <c r="F23" s="59"/>
      <c r="G23" s="60"/>
      <c r="H23" s="60"/>
      <c r="I23" s="60"/>
      <c r="J23" s="83"/>
      <c r="K23" s="84"/>
      <c r="L23" s="85"/>
      <c r="M23" s="76"/>
    </row>
    <row r="24" ht="49.95" customHeight="1" outlineLevel="1" spans="1:13">
      <c r="A24" s="61">
        <v>1</v>
      </c>
      <c r="B24" s="65" t="s">
        <v>35</v>
      </c>
      <c r="C24" s="63" t="str">
        <f>VLOOKUP(B24,'报价表 最新'!A:B,2,0)</f>
        <v>平米</v>
      </c>
      <c r="D24" s="63"/>
      <c r="E24" s="63"/>
      <c r="F24" s="63"/>
      <c r="G24" s="64"/>
      <c r="H24" s="64"/>
      <c r="I24" s="64"/>
      <c r="J24" s="80" t="str">
        <f>VLOOKUP(B24,'报价表 最新'!A:F,4,0)</f>
        <v>按合同面积计算，超出标准部分，费用计算规则详见《水电计价标准》</v>
      </c>
      <c r="K24" s="81" t="str">
        <f>VLOOKUP(B24,'报价表 最新'!A:F,5,0)</f>
        <v>包含开槽、开孔、强弱电改造、空开关调试、给排水改造、通水通电测试等</v>
      </c>
      <c r="L24" s="82"/>
      <c r="M24" s="76"/>
    </row>
    <row r="25" ht="30" customHeight="1" spans="1:13">
      <c r="A25" s="57" t="s">
        <v>36</v>
      </c>
      <c r="B25" s="58"/>
      <c r="C25" s="59"/>
      <c r="D25" s="59"/>
      <c r="E25" s="59"/>
      <c r="F25" s="59"/>
      <c r="G25" s="60"/>
      <c r="H25" s="60"/>
      <c r="I25" s="60"/>
      <c r="J25" s="83"/>
      <c r="K25" s="84"/>
      <c r="L25" s="85"/>
      <c r="M25" s="76"/>
    </row>
    <row r="26" ht="30" customHeight="1" outlineLevel="1" spans="1:13">
      <c r="A26" s="61">
        <f>+ROW()-ROW(A25)</f>
        <v>1</v>
      </c>
      <c r="B26" s="65" t="s">
        <v>37</v>
      </c>
      <c r="C26" s="63" t="str">
        <f>VLOOKUP(B26,'报价表 最新'!A:B,2,0)</f>
        <v>立方</v>
      </c>
      <c r="D26" s="63"/>
      <c r="E26" s="63"/>
      <c r="F26" s="63"/>
      <c r="G26" s="64"/>
      <c r="H26" s="66"/>
      <c r="I26" s="64"/>
      <c r="J26" s="80" t="str">
        <f>VLOOKUP(B26,'报价表 最新'!A:F,4,0)</f>
        <v>按回填方量计算</v>
      </c>
      <c r="K26" s="81" t="str">
        <f>VLOOKUP(B26,'报价表 最新'!A:F,5,0)</f>
        <v>陶粒回填找平</v>
      </c>
      <c r="L26" s="82"/>
      <c r="M26" s="76"/>
    </row>
    <row r="27" ht="30" customHeight="1" outlineLevel="1" spans="1:13">
      <c r="A27" s="61">
        <f>+ROW()-ROW(A25)</f>
        <v>2</v>
      </c>
      <c r="B27" s="62" t="s">
        <v>38</v>
      </c>
      <c r="C27" s="63" t="str">
        <f>VLOOKUP(B27,'报价表 最新'!A:B,2,0)</f>
        <v>平米</v>
      </c>
      <c r="D27" s="63"/>
      <c r="E27" s="63"/>
      <c r="F27" s="63"/>
      <c r="G27" s="64"/>
      <c r="H27" s="66"/>
      <c r="I27" s="64"/>
      <c r="J27" s="80" t="str">
        <f>VLOOKUP(B27,'报价表 最新'!A:F,4,0)</f>
        <v>按施工面积计算
找平厚度30mm以内，超出部分每增加10mm厚增加15元/平米</v>
      </c>
      <c r="K27" s="81" t="str">
        <f>VLOOKUP(B27,'报价表 最新'!A:F,5,0)</f>
        <v>水泥砂浆找平，找平厚度≤30mm</v>
      </c>
      <c r="L27" s="82"/>
      <c r="M27" s="76"/>
    </row>
    <row r="28" ht="30" customHeight="1" outlineLevel="1" spans="1:13">
      <c r="A28" s="61">
        <f>+ROW()-ROW(A25)</f>
        <v>3</v>
      </c>
      <c r="B28" s="67" t="s">
        <v>39</v>
      </c>
      <c r="C28" s="63" t="str">
        <f>VLOOKUP(B28,'报价表 最新'!A:B,2,0)</f>
        <v>平米</v>
      </c>
      <c r="D28" s="63"/>
      <c r="E28" s="68">
        <v>0.05</v>
      </c>
      <c r="F28" s="69"/>
      <c r="G28" s="64"/>
      <c r="H28" s="66"/>
      <c r="I28" s="64"/>
      <c r="J28" s="80" t="str">
        <f>VLOOKUP(B28,'报价表 最新'!A:F,4,0)</f>
        <v>按施工面积计算</v>
      </c>
      <c r="K28" s="81" t="str">
        <f>VLOOKUP(B28,'报价表 最新'!A:F,5,0)</f>
        <v>含安装地垫、木地板、配件安装，完工保护等</v>
      </c>
      <c r="L28" s="82"/>
      <c r="M28" s="76"/>
    </row>
    <row r="29" ht="30" customHeight="1" outlineLevel="1" spans="1:13">
      <c r="A29" s="61">
        <f>+ROW()-ROW(A25)</f>
        <v>4</v>
      </c>
      <c r="B29" s="70" t="s">
        <v>40</v>
      </c>
      <c r="C29" s="63" t="str">
        <f>VLOOKUP(B29,'报价表 最新'!A:B,2,0)</f>
        <v>米</v>
      </c>
      <c r="D29" s="63"/>
      <c r="E29" s="68">
        <v>0.07</v>
      </c>
      <c r="F29" s="69"/>
      <c r="G29" s="64"/>
      <c r="H29" s="66"/>
      <c r="I29" s="64"/>
      <c r="J29" s="80" t="str">
        <f>VLOOKUP(B29,'报价表 最新'!A:F,4,0)</f>
        <v>按延长米计算</v>
      </c>
      <c r="K29" s="81" t="str">
        <f>VLOOKUP(B29,'报价表 最新'!A:F,5,0)</f>
        <v>含安装踢脚线、打胶等</v>
      </c>
      <c r="L29" s="82"/>
      <c r="M29" s="76"/>
    </row>
    <row r="30" ht="30" customHeight="1" outlineLevel="1" spans="1:13">
      <c r="A30" s="61">
        <f>+ROW()-ROW(A25)</f>
        <v>5</v>
      </c>
      <c r="B30" s="70" t="s">
        <v>41</v>
      </c>
      <c r="C30" s="63" t="s">
        <v>42</v>
      </c>
      <c r="D30" s="63"/>
      <c r="E30" s="63"/>
      <c r="F30" s="69"/>
      <c r="G30" s="64"/>
      <c r="H30" s="66"/>
      <c r="I30" s="64"/>
      <c r="J30" s="80" t="s">
        <v>43</v>
      </c>
      <c r="K30" s="81"/>
      <c r="L30" s="82"/>
      <c r="M30" s="76"/>
    </row>
    <row r="31" ht="30" customHeight="1" outlineLevel="1" spans="1:13">
      <c r="A31" s="61">
        <f>+ROW()-ROW(A25)</f>
        <v>6</v>
      </c>
      <c r="B31" s="70" t="s">
        <v>44</v>
      </c>
      <c r="C31" s="63" t="str">
        <f>VLOOKUP(B31,'报价表 最新'!A:B,2,0)</f>
        <v>平米</v>
      </c>
      <c r="D31" s="63"/>
      <c r="E31" s="63"/>
      <c r="F31" s="63"/>
      <c r="G31" s="64"/>
      <c r="H31" s="66"/>
      <c r="I31" s="64"/>
      <c r="J31" s="80" t="str">
        <f>VLOOKUP(B31,'报价表 最新'!A:F,4,0)</f>
        <v>按施工面积计算，门窗面积按50%计算</v>
      </c>
      <c r="K31" s="81" t="str">
        <f>VLOOKUP(B31,'报价表 最新'!A:F,5,0)</f>
        <v>刷界面剂、挂网、补钉眼、铲胶、贴纸胶带、石膏找平、阴阳角处理、两遍腻子施工、打磨和一遍底漆施工等</v>
      </c>
      <c r="L31" s="82"/>
      <c r="M31" s="76"/>
    </row>
    <row r="32" ht="49.05" customHeight="1" outlineLevel="1" spans="1:13">
      <c r="A32" s="61">
        <f>+ROW()-ROW(A25)</f>
        <v>7</v>
      </c>
      <c r="B32" s="70" t="s">
        <v>45</v>
      </c>
      <c r="C32" s="63" t="str">
        <f>VLOOKUP(B32,'报价表 最新'!A:B,2,0)</f>
        <v>平米</v>
      </c>
      <c r="D32" s="71" t="s">
        <v>46</v>
      </c>
      <c r="E32" s="63"/>
      <c r="F32" s="72"/>
      <c r="G32" s="64"/>
      <c r="H32" s="66"/>
      <c r="I32" s="64"/>
      <c r="J32" s="80" t="str">
        <f>VLOOKUP(B32,'报价表 最新'!A:F,4,0)</f>
        <v>按施工面积计算
分色费另计</v>
      </c>
      <c r="K32" s="81" t="str">
        <f>VLOOKUP(B32,'报价表 最新'!A:F,5,0)</f>
        <v>面漆喷涂施工</v>
      </c>
      <c r="L32" s="82"/>
      <c r="M32" s="76"/>
    </row>
    <row r="33" ht="30" customHeight="1" outlineLevel="1" spans="1:13">
      <c r="A33" s="61">
        <f>+ROW()-ROW(A25)</f>
        <v>8</v>
      </c>
      <c r="B33" s="70" t="s">
        <v>47</v>
      </c>
      <c r="C33" s="63" t="str">
        <f>VLOOKUP(B33,'报价表 最新'!A:B,2,0)</f>
        <v>米</v>
      </c>
      <c r="D33" s="63"/>
      <c r="E33" s="63"/>
      <c r="F33" s="69"/>
      <c r="G33" s="64"/>
      <c r="H33" s="66"/>
      <c r="I33" s="64"/>
      <c r="J33" s="80" t="str">
        <f>VLOOKUP(B33,'报价表 最新'!A:F,4,0)</f>
        <v>按延长米计算</v>
      </c>
      <c r="K33" s="81" t="str">
        <f>VLOOKUP(B33,'报价表 最新'!A:F,5,0)</f>
        <v>成品安装</v>
      </c>
      <c r="L33" s="82"/>
      <c r="M33" s="76"/>
    </row>
    <row r="34" ht="30" customHeight="1" outlineLevel="1" spans="1:13">
      <c r="A34" s="61">
        <f>+ROW()-ROW(A25)</f>
        <v>9</v>
      </c>
      <c r="B34" s="62" t="s">
        <v>48</v>
      </c>
      <c r="C34" s="63" t="str">
        <f>VLOOKUP(B34,'报价表 最新'!A:B,2,0)</f>
        <v>平米</v>
      </c>
      <c r="D34" s="63"/>
      <c r="E34" s="63"/>
      <c r="F34" s="63"/>
      <c r="G34" s="64"/>
      <c r="H34" s="64"/>
      <c r="I34" s="64"/>
      <c r="J34" s="80" t="str">
        <f>VLOOKUP(B34,'报价表 最新'!A:F,4,0)</f>
        <v>按展开面积计算</v>
      </c>
      <c r="K34" s="81" t="str">
        <f>VLOOKUP(B34,'报价表 最新'!A:F,5,0)</f>
        <v>包含打眼、吊筋、主副龙骨、单层石膏板安装、转角加固等</v>
      </c>
      <c r="L34" s="82"/>
      <c r="M34" s="76"/>
    </row>
    <row r="35" ht="30" customHeight="1" outlineLevel="1" spans="1:13">
      <c r="A35" s="61">
        <f>+ROW()-ROW(A25)</f>
        <v>10</v>
      </c>
      <c r="B35" s="62" t="s">
        <v>49</v>
      </c>
      <c r="C35" s="63" t="str">
        <f>VLOOKUP(B35,'报价表 最新'!A:B,2,0)</f>
        <v>米</v>
      </c>
      <c r="D35" s="63"/>
      <c r="E35" s="63"/>
      <c r="F35" s="63"/>
      <c r="G35" s="64"/>
      <c r="H35" s="64"/>
      <c r="I35" s="64"/>
      <c r="J35" s="80" t="str">
        <f>VLOOKUP(B35,'报价表 最新'!A:F,4,0)</f>
        <v>按延长米计算
（宽度20mm以内，高度200mm以内，超出费用另计。高度每增加100mm增加15元/米）</v>
      </c>
      <c r="K35" s="81" t="str">
        <f>VLOOKUP(B35,'报价表 最新'!A:F,5,0)</f>
        <v>包含吊顶一圈、边顶或灯槽反边的眉线制作安装双层石膏板制作及安装（吊顶单算，这个只是眉线）</v>
      </c>
      <c r="L35" s="82"/>
      <c r="M35" s="76"/>
    </row>
    <row r="36" ht="30" customHeight="1" outlineLevel="1" spans="1:13">
      <c r="A36" s="61">
        <f>+ROW()-ROW(A25)</f>
        <v>11</v>
      </c>
      <c r="B36" s="62" t="s">
        <v>50</v>
      </c>
      <c r="C36" s="63" t="str">
        <f>VLOOKUP(B36,'报价表 最新'!A:B,2,0)</f>
        <v>米</v>
      </c>
      <c r="D36" s="63"/>
      <c r="E36" s="63"/>
      <c r="F36" s="63"/>
      <c r="G36" s="64"/>
      <c r="H36" s="64"/>
      <c r="I36" s="64"/>
      <c r="J36" s="80" t="str">
        <f>VLOOKUP(B36,'报价表 最新'!A:F,4,0)</f>
        <v>按延长米计算</v>
      </c>
      <c r="K36" s="81" t="str">
        <f>VLOOKUP(B36,'报价表 最新'!A:F,5,0)</f>
        <v>包含窗帘盒制作安装、基层加固等</v>
      </c>
      <c r="L36" s="82"/>
      <c r="M36" s="76"/>
    </row>
    <row r="37" ht="30" customHeight="1" outlineLevel="1" spans="1:13">
      <c r="A37" s="61">
        <f>+ROW()-ROW(A25)</f>
        <v>12</v>
      </c>
      <c r="B37" s="62" t="s">
        <v>51</v>
      </c>
      <c r="C37" s="63" t="str">
        <f>VLOOKUP(B37,'报价表 最新'!A:B,2,0)</f>
        <v>米</v>
      </c>
      <c r="D37" s="63"/>
      <c r="E37" s="63"/>
      <c r="F37" s="63"/>
      <c r="G37" s="64"/>
      <c r="H37" s="64"/>
      <c r="I37" s="64"/>
      <c r="J37" s="80" t="str">
        <f>VLOOKUP(B37,'报价表 最新'!A:F,4,0)</f>
        <v>按米数计算，单个设备孔最低收费1米</v>
      </c>
      <c r="K37" s="81" t="str">
        <f>VLOOKUP(B37,'报价表 最新'!A:F,5,0)</f>
        <v>包含放线、定位、开孔及加固处理等</v>
      </c>
      <c r="L37" s="82"/>
      <c r="M37" s="76"/>
    </row>
    <row r="38" ht="30" customHeight="1" outlineLevel="1" spans="1:13">
      <c r="A38" s="61">
        <f>+ROW()-ROW(A25)</f>
        <v>13</v>
      </c>
      <c r="B38" s="70" t="s">
        <v>52</v>
      </c>
      <c r="C38" s="63" t="str">
        <f>VLOOKUP(B38,'报价表 最新'!A:B,2,0)</f>
        <v>平米</v>
      </c>
      <c r="D38" s="63"/>
      <c r="E38" s="63"/>
      <c r="F38" s="63"/>
      <c r="G38" s="64"/>
      <c r="H38" s="66"/>
      <c r="I38" s="64"/>
      <c r="J38" s="80" t="str">
        <f>VLOOKUP(B38,'报价表 最新'!A:F,4,0)</f>
        <v>按施工面积计算，门窗面积按50%计算</v>
      </c>
      <c r="K38" s="81" t="str">
        <f>VLOOKUP(B38,'报价表 最新'!A:F,5,0)</f>
        <v>刷界面剂、挂网、补钉眼、铲胶、贴纸胶带、石膏找平、阴阳角处理、两遍腻子施工、打磨和一遍底漆施工等</v>
      </c>
      <c r="L38" s="82"/>
      <c r="M38" s="76"/>
    </row>
    <row r="39" ht="52.05" customHeight="1" outlineLevel="1" spans="1:13">
      <c r="A39" s="61">
        <f>+ROW()-ROW(A25)</f>
        <v>14</v>
      </c>
      <c r="B39" s="70" t="s">
        <v>45</v>
      </c>
      <c r="C39" s="63" t="str">
        <f>VLOOKUP(B39,'报价表 最新'!A:B,2,0)</f>
        <v>平米</v>
      </c>
      <c r="D39" s="71" t="s">
        <v>53</v>
      </c>
      <c r="E39" s="63"/>
      <c r="F39" s="72"/>
      <c r="G39" s="64"/>
      <c r="H39" s="66"/>
      <c r="I39" s="64"/>
      <c r="J39" s="80" t="str">
        <f>VLOOKUP(B39,'报价表 最新'!A:F,4,0)</f>
        <v>按施工面积计算
分色费另计</v>
      </c>
      <c r="K39" s="81" t="str">
        <f>VLOOKUP(B39,'报价表 最新'!A:F,5,0)</f>
        <v>面漆喷涂施工</v>
      </c>
      <c r="L39" s="82"/>
      <c r="M39" s="76"/>
    </row>
    <row r="40" ht="30" customHeight="1" outlineLevel="1" spans="1:13">
      <c r="A40" s="61">
        <f>+ROW()-ROW(A25)</f>
        <v>15</v>
      </c>
      <c r="B40" s="65" t="s">
        <v>54</v>
      </c>
      <c r="C40" s="63" t="str">
        <f>VLOOKUP(B40,'报价表 最新'!A:B,2,0)</f>
        <v>套</v>
      </c>
      <c r="D40" s="63" t="s">
        <v>55</v>
      </c>
      <c r="E40" s="63"/>
      <c r="F40" s="73"/>
      <c r="G40" s="64"/>
      <c r="H40" s="66"/>
      <c r="I40" s="64"/>
      <c r="J40" s="80" t="str">
        <f>VLOOKUP(B40,'报价表 最新'!A:F,4,0)</f>
        <v>按套数计算</v>
      </c>
      <c r="K40" s="81" t="str">
        <f>VLOOKUP(B40,'报价表 最新'!A:F,5,0)</f>
        <v>成品安装(含门套、门、五金)</v>
      </c>
      <c r="L40" s="82"/>
      <c r="M40" s="76"/>
    </row>
    <row r="41" ht="30" customHeight="1" spans="1:13">
      <c r="A41" s="57" t="s">
        <v>56</v>
      </c>
      <c r="B41" s="58"/>
      <c r="C41" s="59"/>
      <c r="D41" s="59"/>
      <c r="E41" s="59"/>
      <c r="F41" s="59"/>
      <c r="G41" s="60"/>
      <c r="H41" s="60"/>
      <c r="I41" s="60"/>
      <c r="J41" s="83"/>
      <c r="K41" s="84"/>
      <c r="L41" s="85"/>
      <c r="M41" s="76"/>
    </row>
    <row r="42" ht="30" customHeight="1" outlineLevel="1" spans="1:13">
      <c r="A42" s="61">
        <f>+ROW()-ROW(A41)</f>
        <v>1</v>
      </c>
      <c r="B42" s="62" t="s">
        <v>38</v>
      </c>
      <c r="C42" s="63" t="str">
        <f>VLOOKUP(B42,'报价表 最新'!A:B,2,0)</f>
        <v>平米</v>
      </c>
      <c r="D42" s="63"/>
      <c r="E42" s="63"/>
      <c r="F42" s="63"/>
      <c r="G42" s="64"/>
      <c r="H42" s="66"/>
      <c r="I42" s="64"/>
      <c r="J42" s="80" t="str">
        <f>VLOOKUP(B42,'报价表 最新'!A:F,4,0)</f>
        <v>按施工面积计算
找平厚度30mm以内，超出部分每增加10mm厚增加15元/平米</v>
      </c>
      <c r="K42" s="81" t="str">
        <f>VLOOKUP(B42,'报价表 最新'!A:F,5,0)</f>
        <v>水泥砂浆找平，找平厚度≤30mm</v>
      </c>
      <c r="L42" s="82"/>
      <c r="M42" s="76"/>
    </row>
    <row r="43" ht="30" customHeight="1" outlineLevel="1" spans="1:13">
      <c r="A43" s="61">
        <f>+ROW()-ROW(A41)</f>
        <v>2</v>
      </c>
      <c r="B43" s="67" t="s">
        <v>39</v>
      </c>
      <c r="C43" s="63" t="str">
        <f>VLOOKUP(B43,'报价表 最新'!A:B,2,0)</f>
        <v>平米</v>
      </c>
      <c r="D43" s="63"/>
      <c r="E43" s="68">
        <v>0.05</v>
      </c>
      <c r="F43" s="69"/>
      <c r="G43" s="64"/>
      <c r="H43" s="66"/>
      <c r="I43" s="64"/>
      <c r="J43" s="80" t="str">
        <f>VLOOKUP(B43,'报价表 最新'!A:F,4,0)</f>
        <v>按施工面积计算</v>
      </c>
      <c r="K43" s="81" t="str">
        <f>VLOOKUP(B43,'报价表 最新'!A:F,5,0)</f>
        <v>含安装地垫、木地板、配件安装，完工保护等</v>
      </c>
      <c r="L43" s="82"/>
      <c r="M43" s="76"/>
    </row>
    <row r="44" ht="30" customHeight="1" outlineLevel="1" spans="1:13">
      <c r="A44" s="61">
        <f>+ROW()-ROW(A41)</f>
        <v>3</v>
      </c>
      <c r="B44" s="70" t="s">
        <v>40</v>
      </c>
      <c r="C44" s="63" t="str">
        <f>VLOOKUP(B44,'报价表 最新'!A:B,2,0)</f>
        <v>米</v>
      </c>
      <c r="D44" s="63"/>
      <c r="E44" s="68">
        <v>0.07</v>
      </c>
      <c r="F44" s="69"/>
      <c r="G44" s="64"/>
      <c r="H44" s="66"/>
      <c r="I44" s="64"/>
      <c r="J44" s="80" t="str">
        <f>VLOOKUP(B44,'报价表 最新'!A:F,4,0)</f>
        <v>按延长米计算</v>
      </c>
      <c r="K44" s="81" t="str">
        <f>VLOOKUP(B44,'报价表 最新'!A:F,5,0)</f>
        <v>含安装踢脚线、打胶等</v>
      </c>
      <c r="L44" s="82"/>
      <c r="M44" s="76"/>
    </row>
    <row r="45" ht="30" customHeight="1" outlineLevel="1" spans="1:13">
      <c r="A45" s="61">
        <f>+ROW()-ROW(A41)</f>
        <v>4</v>
      </c>
      <c r="B45" s="70" t="s">
        <v>57</v>
      </c>
      <c r="C45" s="63" t="s">
        <v>42</v>
      </c>
      <c r="D45" s="63"/>
      <c r="E45" s="68"/>
      <c r="F45" s="69"/>
      <c r="G45" s="64"/>
      <c r="H45" s="66"/>
      <c r="I45" s="64"/>
      <c r="J45" s="80" t="s">
        <v>43</v>
      </c>
      <c r="K45" s="81"/>
      <c r="L45" s="82"/>
      <c r="M45" s="76"/>
    </row>
    <row r="46" ht="30" customHeight="1" outlineLevel="1" spans="1:13">
      <c r="A46" s="61">
        <f>+ROW()-ROW(A41)</f>
        <v>5</v>
      </c>
      <c r="B46" s="70" t="s">
        <v>58</v>
      </c>
      <c r="C46" s="63" t="str">
        <f>VLOOKUP(B46,'报价表 最新'!A:B,2,0)</f>
        <v>米</v>
      </c>
      <c r="D46" s="63"/>
      <c r="E46" s="63"/>
      <c r="F46" s="69"/>
      <c r="G46" s="64"/>
      <c r="H46" s="66"/>
      <c r="I46" s="64"/>
      <c r="J46" s="80" t="str">
        <f>VLOOKUP(B46,'报价表 最新'!A:F,4,0)</f>
        <v>按延长米计算，不足一米按一米计算</v>
      </c>
      <c r="K46" s="81" t="str">
        <f>VLOOKUP(B46,'报价表 最新'!A:F,5,0)</f>
        <v>成品安装</v>
      </c>
      <c r="L46" s="82"/>
      <c r="M46" s="76"/>
    </row>
    <row r="47" ht="30" customHeight="1" outlineLevel="1" spans="1:13">
      <c r="A47" s="61">
        <f>+ROW()-ROW(A41)</f>
        <v>6</v>
      </c>
      <c r="B47" s="70" t="s">
        <v>47</v>
      </c>
      <c r="C47" s="63" t="str">
        <f>VLOOKUP(B47,'报价表 最新'!A:B,2,0)</f>
        <v>米</v>
      </c>
      <c r="D47" s="63"/>
      <c r="E47" s="63"/>
      <c r="F47" s="69"/>
      <c r="G47" s="64"/>
      <c r="H47" s="66"/>
      <c r="I47" s="64"/>
      <c r="J47" s="80" t="str">
        <f>VLOOKUP(B47,'报价表 最新'!A:F,4,0)</f>
        <v>按延长米计算</v>
      </c>
      <c r="K47" s="81" t="str">
        <f>VLOOKUP(B47,'报价表 最新'!A:F,5,0)</f>
        <v>成品安装</v>
      </c>
      <c r="L47" s="82"/>
      <c r="M47" s="76"/>
    </row>
    <row r="48" ht="30" customHeight="1" outlineLevel="1" spans="1:13">
      <c r="A48" s="61">
        <f>+ROW()-ROW(A41)</f>
        <v>7</v>
      </c>
      <c r="B48" s="70" t="s">
        <v>44</v>
      </c>
      <c r="C48" s="63" t="str">
        <f>VLOOKUP(B48,'报价表 最新'!A:B,2,0)</f>
        <v>平米</v>
      </c>
      <c r="D48" s="63"/>
      <c r="E48" s="63"/>
      <c r="F48" s="63"/>
      <c r="G48" s="64"/>
      <c r="H48" s="66"/>
      <c r="I48" s="64"/>
      <c r="J48" s="80" t="str">
        <f>VLOOKUP(B48,'报价表 最新'!A:F,4,0)</f>
        <v>按施工面积计算，门窗面积按50%计算</v>
      </c>
      <c r="K48" s="81" t="str">
        <f>VLOOKUP(B48,'报价表 最新'!A:F,5,0)</f>
        <v>刷界面剂、挂网、补钉眼、铲胶、贴纸胶带、石膏找平、阴阳角处理、两遍腻子施工、打磨和一遍底漆施工等</v>
      </c>
      <c r="L48" s="82"/>
      <c r="M48" s="76"/>
    </row>
    <row r="49" ht="30" customHeight="1" outlineLevel="1" spans="1:13">
      <c r="A49" s="61">
        <f>+ROW()-ROW(A41)</f>
        <v>8</v>
      </c>
      <c r="B49" s="70" t="s">
        <v>45</v>
      </c>
      <c r="C49" s="63" t="str">
        <f>VLOOKUP(B49,'报价表 最新'!A:B,2,0)</f>
        <v>平米</v>
      </c>
      <c r="D49" s="71" t="s">
        <v>59</v>
      </c>
      <c r="E49" s="63"/>
      <c r="F49" s="72"/>
      <c r="G49" s="64"/>
      <c r="H49" s="66"/>
      <c r="I49" s="64"/>
      <c r="J49" s="80" t="str">
        <f>VLOOKUP(B49,'报价表 最新'!A:F,4,0)</f>
        <v>按施工面积计算
分色费另计</v>
      </c>
      <c r="K49" s="81" t="str">
        <f>VLOOKUP(B49,'报价表 最新'!A:F,5,0)</f>
        <v>面漆喷涂施工</v>
      </c>
      <c r="L49" s="82"/>
      <c r="M49" s="76"/>
    </row>
    <row r="50" ht="30" customHeight="1" outlineLevel="1" spans="1:13">
      <c r="A50" s="61">
        <f>+ROW()-ROW(A41)</f>
        <v>9</v>
      </c>
      <c r="B50" s="62" t="s">
        <v>48</v>
      </c>
      <c r="C50" s="63" t="str">
        <f>VLOOKUP(B50,'报价表 最新'!A:B,2,0)</f>
        <v>平米</v>
      </c>
      <c r="D50" s="63"/>
      <c r="E50" s="63"/>
      <c r="F50" s="63"/>
      <c r="G50" s="64"/>
      <c r="H50" s="64"/>
      <c r="I50" s="64"/>
      <c r="J50" s="80" t="str">
        <f>VLOOKUP(B50,'报价表 最新'!A:F,4,0)</f>
        <v>按展开面积计算</v>
      </c>
      <c r="K50" s="81" t="str">
        <f>VLOOKUP(B50,'报价表 最新'!A:F,5,0)</f>
        <v>包含打眼、吊筋、主副龙骨、单层石膏板安装、转角加固等</v>
      </c>
      <c r="L50" s="82"/>
      <c r="M50" s="76"/>
    </row>
    <row r="51" ht="30" customHeight="1" outlineLevel="1" spans="1:13">
      <c r="A51" s="61" t="e">
        <f>+ROW()-ROW(#REF!)</f>
        <v>#REF!</v>
      </c>
      <c r="B51" s="62" t="s">
        <v>60</v>
      </c>
      <c r="C51" s="63" t="str">
        <f>VLOOKUP(B51,'报价表 最新'!A:B,2,0)</f>
        <v>平米</v>
      </c>
      <c r="D51" s="63"/>
      <c r="E51" s="63"/>
      <c r="F51" s="63"/>
      <c r="G51" s="64"/>
      <c r="H51" s="64"/>
      <c r="I51" s="64"/>
      <c r="J51" s="80" t="str">
        <f>VLOOKUP(B51,'报价表 最新'!A:F,4,0)</f>
        <v>按展开面积计算</v>
      </c>
      <c r="K51" s="81" t="str">
        <f>VLOOKUP(B51,'报价表 最新'!A:F,5,0)</f>
        <v>包含打眼、吊筋、主副龙骨、单层石膏板安装、转角加固等</v>
      </c>
      <c r="L51" s="82"/>
      <c r="M51" s="76"/>
    </row>
    <row r="52" ht="30" customHeight="1" outlineLevel="1" spans="1:13">
      <c r="A52" s="61">
        <f>+ROW()-ROW(A41)</f>
        <v>11</v>
      </c>
      <c r="B52" s="62" t="s">
        <v>49</v>
      </c>
      <c r="C52" s="63" t="str">
        <f>VLOOKUP(B52,'报价表 最新'!A:B,2,0)</f>
        <v>米</v>
      </c>
      <c r="D52" s="63"/>
      <c r="E52" s="63"/>
      <c r="F52" s="63"/>
      <c r="G52" s="64"/>
      <c r="H52" s="64"/>
      <c r="I52" s="64"/>
      <c r="J52" s="80" t="str">
        <f>VLOOKUP(B52,'报价表 最新'!A:F,4,0)</f>
        <v>按延长米计算
（宽度20mm以内，高度200mm以内，超出费用另计。高度每增加100mm增加15元/米）</v>
      </c>
      <c r="K52" s="81" t="str">
        <f>VLOOKUP(B52,'报价表 最新'!A:F,5,0)</f>
        <v>包含吊顶一圈、边顶或灯槽反边的眉线制作安装双层石膏板制作及安装（吊顶单算，这个只是眉线）</v>
      </c>
      <c r="L52" s="82"/>
      <c r="M52" s="76"/>
    </row>
    <row r="53" ht="30" customHeight="1" outlineLevel="1" spans="1:13">
      <c r="A53" s="61">
        <f>+ROW()-ROW(A41)</f>
        <v>12</v>
      </c>
      <c r="B53" s="62" t="s">
        <v>50</v>
      </c>
      <c r="C53" s="63" t="str">
        <f>VLOOKUP(B53,'报价表 最新'!A:B,2,0)</f>
        <v>米</v>
      </c>
      <c r="D53" s="63"/>
      <c r="E53" s="63"/>
      <c r="F53" s="63"/>
      <c r="G53" s="64"/>
      <c r="H53" s="64"/>
      <c r="I53" s="64"/>
      <c r="J53" s="80" t="str">
        <f>VLOOKUP(B53,'报价表 最新'!A:F,4,0)</f>
        <v>按延长米计算</v>
      </c>
      <c r="K53" s="81" t="str">
        <f>VLOOKUP(B53,'报价表 最新'!A:F,5,0)</f>
        <v>包含窗帘盒制作安装、基层加固等</v>
      </c>
      <c r="L53" s="82"/>
      <c r="M53" s="76"/>
    </row>
    <row r="54" ht="30" customHeight="1" outlineLevel="1" spans="1:13">
      <c r="A54" s="61">
        <f>+ROW()-ROW(A41)</f>
        <v>13</v>
      </c>
      <c r="B54" s="62" t="s">
        <v>51</v>
      </c>
      <c r="C54" s="63" t="str">
        <f>VLOOKUP(B54,'报价表 最新'!A:B,2,0)</f>
        <v>米</v>
      </c>
      <c r="D54" s="63"/>
      <c r="E54" s="63"/>
      <c r="F54" s="63"/>
      <c r="G54" s="64"/>
      <c r="H54" s="64"/>
      <c r="I54" s="64"/>
      <c r="J54" s="80" t="str">
        <f>VLOOKUP(B54,'报价表 最新'!A:F,4,0)</f>
        <v>按米数计算，单个设备孔最低收费1米</v>
      </c>
      <c r="K54" s="81" t="str">
        <f>VLOOKUP(B54,'报价表 最新'!A:F,5,0)</f>
        <v>包含放线、定位、开孔及加固处理等</v>
      </c>
      <c r="L54" s="82"/>
      <c r="M54" s="76"/>
    </row>
    <row r="55" ht="30" customHeight="1" outlineLevel="1" spans="1:13">
      <c r="A55" s="61">
        <f>+ROW()-ROW(A41)</f>
        <v>14</v>
      </c>
      <c r="B55" s="70" t="s">
        <v>52</v>
      </c>
      <c r="C55" s="63" t="str">
        <f>VLOOKUP(B55,'报价表 最新'!A:B,2,0)</f>
        <v>平米</v>
      </c>
      <c r="D55" s="63"/>
      <c r="E55" s="63"/>
      <c r="F55" s="63"/>
      <c r="G55" s="64"/>
      <c r="H55" s="66"/>
      <c r="I55" s="64"/>
      <c r="J55" s="80" t="str">
        <f>VLOOKUP(B55,'报价表 最新'!A:F,4,0)</f>
        <v>按施工面积计算，门窗面积按50%计算</v>
      </c>
      <c r="K55" s="81" t="str">
        <f>VLOOKUP(B55,'报价表 最新'!A:F,5,0)</f>
        <v>刷界面剂、挂网、补钉眼、铲胶、贴纸胶带、石膏找平、阴阳角处理、两遍腻子施工、打磨和一遍底漆施工等</v>
      </c>
      <c r="L55" s="82"/>
      <c r="M55" s="76"/>
    </row>
    <row r="56" ht="48" customHeight="1" outlineLevel="1" spans="1:13">
      <c r="A56" s="61">
        <f>+ROW()-ROW(A41)</f>
        <v>15</v>
      </c>
      <c r="B56" s="70" t="s">
        <v>45</v>
      </c>
      <c r="C56" s="63" t="str">
        <f>VLOOKUP(B56,'报价表 最新'!A:B,2,0)</f>
        <v>平米</v>
      </c>
      <c r="D56" s="71" t="s">
        <v>53</v>
      </c>
      <c r="E56" s="63"/>
      <c r="F56" s="72"/>
      <c r="G56" s="64"/>
      <c r="H56" s="66"/>
      <c r="I56" s="64"/>
      <c r="J56" s="80" t="str">
        <f>VLOOKUP(B56,'报价表 最新'!A:F,4,0)</f>
        <v>按施工面积计算
分色费另计</v>
      </c>
      <c r="K56" s="81" t="str">
        <f>VLOOKUP(B56,'报价表 最新'!A:F,5,0)</f>
        <v>面漆喷涂施工</v>
      </c>
      <c r="L56" s="82"/>
      <c r="M56" s="76"/>
    </row>
    <row r="57" ht="30" customHeight="1" outlineLevel="1" spans="1:13">
      <c r="A57" s="61">
        <f>+ROW()-ROW(A41)</f>
        <v>16</v>
      </c>
      <c r="B57" s="65" t="s">
        <v>61</v>
      </c>
      <c r="C57" s="63" t="s">
        <v>22</v>
      </c>
      <c r="D57" s="63"/>
      <c r="E57" s="63"/>
      <c r="F57" s="73"/>
      <c r="G57" s="64"/>
      <c r="H57" s="66"/>
      <c r="I57" s="64"/>
      <c r="J57" s="80" t="s">
        <v>62</v>
      </c>
      <c r="K57" s="81"/>
      <c r="L57" s="82"/>
      <c r="M57" s="76"/>
    </row>
    <row r="58" ht="30" customHeight="1" outlineLevel="1" spans="1:13">
      <c r="A58" s="61">
        <f>+ROW()-ROW(A41)</f>
        <v>17</v>
      </c>
      <c r="B58" s="65" t="s">
        <v>63</v>
      </c>
      <c r="C58" s="63" t="s">
        <v>64</v>
      </c>
      <c r="D58" s="63"/>
      <c r="E58" s="63"/>
      <c r="F58" s="73"/>
      <c r="G58" s="64"/>
      <c r="H58" s="66"/>
      <c r="I58" s="64"/>
      <c r="J58" s="80" t="s">
        <v>62</v>
      </c>
      <c r="K58" s="81"/>
      <c r="L58" s="82"/>
      <c r="M58" s="76"/>
    </row>
    <row r="59" ht="30" customHeight="1" outlineLevel="1" spans="1:13">
      <c r="A59" s="61">
        <f>+ROW()-ROW(A41)</f>
        <v>18</v>
      </c>
      <c r="B59" s="65" t="s">
        <v>65</v>
      </c>
      <c r="C59" s="63" t="s">
        <v>66</v>
      </c>
      <c r="D59" s="63"/>
      <c r="E59" s="63"/>
      <c r="F59" s="73"/>
      <c r="G59" s="64"/>
      <c r="H59" s="66"/>
      <c r="I59" s="64"/>
      <c r="J59" s="80" t="s">
        <v>67</v>
      </c>
      <c r="K59" s="81"/>
      <c r="L59" s="82"/>
      <c r="M59" s="76"/>
    </row>
    <row r="60" ht="30" customHeight="1" spans="1:13">
      <c r="A60" s="57" t="s">
        <v>68</v>
      </c>
      <c r="B60" s="58"/>
      <c r="C60" s="59"/>
      <c r="D60" s="59"/>
      <c r="E60" s="59"/>
      <c r="F60" s="59"/>
      <c r="G60" s="60"/>
      <c r="H60" s="60"/>
      <c r="I60" s="60"/>
      <c r="J60" s="83"/>
      <c r="K60" s="84"/>
      <c r="L60" s="85"/>
      <c r="M60" s="76"/>
    </row>
    <row r="61" ht="30" customHeight="1" outlineLevel="1" spans="1:13">
      <c r="A61" s="61">
        <f>+ROW()-ROW(A60)</f>
        <v>1</v>
      </c>
      <c r="B61" s="65" t="s">
        <v>37</v>
      </c>
      <c r="C61" s="63" t="str">
        <f>VLOOKUP(B61,'报价表 最新'!A:B,2,0)</f>
        <v>立方</v>
      </c>
      <c r="D61" s="63"/>
      <c r="E61" s="63"/>
      <c r="F61" s="63"/>
      <c r="G61" s="64"/>
      <c r="H61" s="66"/>
      <c r="I61" s="64"/>
      <c r="J61" s="80" t="str">
        <f>VLOOKUP(B61,'报价表 最新'!A:F,4,0)</f>
        <v>按回填方量计算</v>
      </c>
      <c r="K61" s="81" t="str">
        <f>VLOOKUP(B61,'报价表 最新'!A:F,5,0)</f>
        <v>陶粒回填找平</v>
      </c>
      <c r="L61" s="82"/>
      <c r="M61" s="76"/>
    </row>
    <row r="62" ht="30" customHeight="1" outlineLevel="1" spans="1:13">
      <c r="A62" s="61">
        <f>+ROW()-ROW(A60)</f>
        <v>2</v>
      </c>
      <c r="B62" s="62" t="s">
        <v>38</v>
      </c>
      <c r="C62" s="63" t="str">
        <f>VLOOKUP(B62,'报价表 最新'!A:B,2,0)</f>
        <v>平米</v>
      </c>
      <c r="D62" s="63"/>
      <c r="E62" s="63"/>
      <c r="F62" s="63"/>
      <c r="G62" s="64"/>
      <c r="H62" s="66"/>
      <c r="I62" s="64"/>
      <c r="J62" s="80" t="str">
        <f>VLOOKUP(B62,'报价表 最新'!A:F,4,0)</f>
        <v>按施工面积计算
找平厚度30mm以内，超出部分每增加10mm厚增加15元/平米</v>
      </c>
      <c r="K62" s="81" t="str">
        <f>VLOOKUP(B62,'报价表 最新'!A:F,5,0)</f>
        <v>水泥砂浆找平，找平厚度≤30mm</v>
      </c>
      <c r="L62" s="82"/>
      <c r="M62" s="76"/>
    </row>
    <row r="63" ht="30" customHeight="1" outlineLevel="1" spans="1:13">
      <c r="A63" s="61">
        <f>+ROW()-ROW(A60)</f>
        <v>3</v>
      </c>
      <c r="B63" s="67" t="s">
        <v>39</v>
      </c>
      <c r="C63" s="63" t="str">
        <f>VLOOKUP(B63,'报价表 最新'!A:B,2,0)</f>
        <v>平米</v>
      </c>
      <c r="D63" s="63"/>
      <c r="E63" s="68">
        <v>0.05</v>
      </c>
      <c r="F63" s="69"/>
      <c r="G63" s="64"/>
      <c r="H63" s="66"/>
      <c r="I63" s="64"/>
      <c r="J63" s="80" t="str">
        <f>VLOOKUP(B63,'报价表 最新'!A:F,4,0)</f>
        <v>按施工面积计算</v>
      </c>
      <c r="K63" s="81" t="str">
        <f>VLOOKUP(B63,'报价表 最新'!A:F,5,0)</f>
        <v>含安装地垫、木地板、配件安装，完工保护等</v>
      </c>
      <c r="L63" s="82"/>
      <c r="M63" s="76"/>
    </row>
    <row r="64" ht="30" customHeight="1" outlineLevel="1" spans="1:13">
      <c r="A64" s="61">
        <f>+ROW()-ROW(A60)</f>
        <v>4</v>
      </c>
      <c r="B64" s="70" t="s">
        <v>40</v>
      </c>
      <c r="C64" s="63" t="str">
        <f>VLOOKUP(B64,'报价表 最新'!A:B,2,0)</f>
        <v>米</v>
      </c>
      <c r="D64" s="63"/>
      <c r="E64" s="68">
        <v>0.07</v>
      </c>
      <c r="F64" s="69"/>
      <c r="G64" s="64"/>
      <c r="H64" s="66"/>
      <c r="I64" s="64"/>
      <c r="J64" s="80" t="str">
        <f>VLOOKUP(B64,'报价表 最新'!A:F,4,0)</f>
        <v>按延长米计算</v>
      </c>
      <c r="K64" s="81" t="str">
        <f>VLOOKUP(B64,'报价表 最新'!A:F,5,0)</f>
        <v>含安装踢脚线、打胶等</v>
      </c>
      <c r="L64" s="82"/>
      <c r="M64" s="76"/>
    </row>
    <row r="65" ht="30" customHeight="1" outlineLevel="1" spans="1:13">
      <c r="A65" s="61">
        <f>+ROW()-ROW(A60)</f>
        <v>5</v>
      </c>
      <c r="B65" s="70" t="s">
        <v>57</v>
      </c>
      <c r="C65" s="63" t="s">
        <v>42</v>
      </c>
      <c r="D65" s="63"/>
      <c r="E65" s="68"/>
      <c r="F65" s="69"/>
      <c r="G65" s="64"/>
      <c r="H65" s="66"/>
      <c r="I65" s="64"/>
      <c r="J65" s="80" t="s">
        <v>43</v>
      </c>
      <c r="K65" s="81"/>
      <c r="L65" s="82"/>
      <c r="M65" s="76"/>
    </row>
    <row r="66" ht="30" customHeight="1" outlineLevel="1" spans="1:13">
      <c r="A66" s="61">
        <f>+ROW()-ROW(A60)</f>
        <v>6</v>
      </c>
      <c r="B66" s="70" t="s">
        <v>47</v>
      </c>
      <c r="C66" s="63" t="str">
        <f>VLOOKUP(B66,'报价表 最新'!A:B,2,0)</f>
        <v>米</v>
      </c>
      <c r="D66" s="63"/>
      <c r="E66" s="63"/>
      <c r="F66" s="69"/>
      <c r="G66" s="64"/>
      <c r="H66" s="66"/>
      <c r="I66" s="64"/>
      <c r="J66" s="80" t="str">
        <f>VLOOKUP(B66,'报价表 最新'!A:F,4,0)</f>
        <v>按延长米计算</v>
      </c>
      <c r="K66" s="81" t="str">
        <f>VLOOKUP(B66,'报价表 最新'!A:F,5,0)</f>
        <v>成品安装</v>
      </c>
      <c r="L66" s="82"/>
      <c r="M66" s="76"/>
    </row>
    <row r="67" ht="30" customHeight="1" outlineLevel="1" spans="1:13">
      <c r="A67" s="61">
        <f>+ROW()-ROW(A60)</f>
        <v>7</v>
      </c>
      <c r="B67" s="70" t="s">
        <v>44</v>
      </c>
      <c r="C67" s="63" t="str">
        <f>VLOOKUP(B67,'报价表 最新'!A:B,2,0)</f>
        <v>平米</v>
      </c>
      <c r="D67" s="63"/>
      <c r="E67" s="63"/>
      <c r="F67" s="63"/>
      <c r="G67" s="64"/>
      <c r="H67" s="66"/>
      <c r="I67" s="64"/>
      <c r="J67" s="80" t="str">
        <f>VLOOKUP(B67,'报价表 最新'!A:F,4,0)</f>
        <v>按施工面积计算，门窗面积按50%计算</v>
      </c>
      <c r="K67" s="81" t="str">
        <f>VLOOKUP(B67,'报价表 最新'!A:F,5,0)</f>
        <v>刷界面剂、挂网、补钉眼、铲胶、贴纸胶带、石膏找平、阴阳角处理、两遍腻子施工、打磨和一遍底漆施工等</v>
      </c>
      <c r="L67" s="82"/>
      <c r="M67" s="76"/>
    </row>
    <row r="68" ht="60" customHeight="1" outlineLevel="1" spans="1:13">
      <c r="A68" s="61">
        <f>+ROW()-ROW(A60)</f>
        <v>8</v>
      </c>
      <c r="B68" s="70" t="s">
        <v>45</v>
      </c>
      <c r="C68" s="63" t="str">
        <f>VLOOKUP(B68,'报价表 最新'!A:B,2,0)</f>
        <v>平米</v>
      </c>
      <c r="D68" s="71" t="s">
        <v>46</v>
      </c>
      <c r="E68" s="63"/>
      <c r="F68" s="72"/>
      <c r="G68" s="64"/>
      <c r="H68" s="66"/>
      <c r="I68" s="64"/>
      <c r="J68" s="80" t="str">
        <f>VLOOKUP(B68,'报价表 最新'!A:F,4,0)</f>
        <v>按施工面积计算
分色费另计</v>
      </c>
      <c r="K68" s="81" t="str">
        <f>VLOOKUP(B68,'报价表 最新'!A:F,5,0)</f>
        <v>面漆喷涂施工</v>
      </c>
      <c r="L68" s="82"/>
      <c r="M68" s="76"/>
    </row>
    <row r="69" ht="30" customHeight="1" outlineLevel="1" spans="1:13">
      <c r="A69" s="61">
        <f>+ROW()-ROW(A60)</f>
        <v>9</v>
      </c>
      <c r="B69" s="62" t="s">
        <v>48</v>
      </c>
      <c r="C69" s="63" t="str">
        <f>VLOOKUP(B69,'报价表 最新'!A:B,2,0)</f>
        <v>平米</v>
      </c>
      <c r="D69" s="63"/>
      <c r="E69" s="63"/>
      <c r="F69" s="63"/>
      <c r="G69" s="64"/>
      <c r="H69" s="64"/>
      <c r="I69" s="64"/>
      <c r="J69" s="80" t="str">
        <f>VLOOKUP(B69,'报价表 最新'!A:F,4,0)</f>
        <v>按展开面积计算</v>
      </c>
      <c r="K69" s="81" t="str">
        <f>VLOOKUP(B69,'报价表 最新'!A:F,5,0)</f>
        <v>包含打眼、吊筋、主副龙骨、单层石膏板安装、转角加固等</v>
      </c>
      <c r="L69" s="82"/>
      <c r="M69" s="76"/>
    </row>
    <row r="70" ht="30" customHeight="1" outlineLevel="1" spans="1:13">
      <c r="A70" s="61">
        <f>+ROW()-ROW(A60)</f>
        <v>10</v>
      </c>
      <c r="B70" s="62" t="s">
        <v>49</v>
      </c>
      <c r="C70" s="63" t="str">
        <f>VLOOKUP(B70,'报价表 最新'!A:B,2,0)</f>
        <v>米</v>
      </c>
      <c r="D70" s="63"/>
      <c r="E70" s="63"/>
      <c r="F70" s="63"/>
      <c r="G70" s="64"/>
      <c r="H70" s="64"/>
      <c r="I70" s="64"/>
      <c r="J70" s="80" t="str">
        <f>VLOOKUP(B70,'报价表 最新'!A:F,4,0)</f>
        <v>按延长米计算
（宽度20mm以内，高度200mm以内，超出费用另计。高度每增加100mm增加15元/米）</v>
      </c>
      <c r="K70" s="81" t="str">
        <f>VLOOKUP(B70,'报价表 最新'!A:F,5,0)</f>
        <v>包含吊顶一圈、边顶或灯槽反边的眉线制作安装双层石膏板制作及安装（吊顶单算，这个只是眉线）</v>
      </c>
      <c r="L70" s="82"/>
      <c r="M70" s="76"/>
    </row>
    <row r="71" ht="30" customHeight="1" outlineLevel="1" spans="1:13">
      <c r="A71" s="61">
        <f>+ROW()-ROW(A60)</f>
        <v>11</v>
      </c>
      <c r="B71" s="62" t="s">
        <v>50</v>
      </c>
      <c r="C71" s="63" t="str">
        <f>VLOOKUP(B71,'报价表 最新'!A:B,2,0)</f>
        <v>米</v>
      </c>
      <c r="D71" s="63"/>
      <c r="E71" s="63"/>
      <c r="F71" s="63"/>
      <c r="G71" s="64"/>
      <c r="H71" s="64"/>
      <c r="I71" s="64"/>
      <c r="J71" s="80" t="str">
        <f>VLOOKUP(B71,'报价表 最新'!A:F,4,0)</f>
        <v>按延长米计算</v>
      </c>
      <c r="K71" s="81" t="str">
        <f>VLOOKUP(B71,'报价表 最新'!A:F,5,0)</f>
        <v>包含窗帘盒制作安装、基层加固等</v>
      </c>
      <c r="L71" s="82"/>
      <c r="M71" s="76"/>
    </row>
    <row r="72" ht="30" customHeight="1" outlineLevel="1" spans="1:13">
      <c r="A72" s="61">
        <f>+ROW()-ROW(A60)</f>
        <v>12</v>
      </c>
      <c r="B72" s="62" t="s">
        <v>51</v>
      </c>
      <c r="C72" s="63" t="str">
        <f>VLOOKUP(B72,'报价表 最新'!A:B,2,0)</f>
        <v>米</v>
      </c>
      <c r="D72" s="63"/>
      <c r="E72" s="63"/>
      <c r="F72" s="63"/>
      <c r="G72" s="64"/>
      <c r="H72" s="64"/>
      <c r="I72" s="64"/>
      <c r="J72" s="80" t="str">
        <f>VLOOKUP(B72,'报价表 最新'!A:F,4,0)</f>
        <v>按米数计算，单个设备孔最低收费1米</v>
      </c>
      <c r="K72" s="81" t="str">
        <f>VLOOKUP(B72,'报价表 最新'!A:F,5,0)</f>
        <v>包含放线、定位、开孔及加固处理等</v>
      </c>
      <c r="L72" s="82"/>
      <c r="M72" s="76"/>
    </row>
    <row r="73" ht="30" customHeight="1" outlineLevel="1" spans="1:13">
      <c r="A73" s="61">
        <f>+ROW()-ROW(A60)</f>
        <v>13</v>
      </c>
      <c r="B73" s="70" t="s">
        <v>52</v>
      </c>
      <c r="C73" s="63" t="str">
        <f>VLOOKUP(B73,'报价表 最新'!A:B,2,0)</f>
        <v>平米</v>
      </c>
      <c r="D73" s="63"/>
      <c r="E73" s="63"/>
      <c r="F73" s="63"/>
      <c r="G73" s="64"/>
      <c r="H73" s="66"/>
      <c r="I73" s="64"/>
      <c r="J73" s="80" t="str">
        <f>VLOOKUP(B73,'报价表 最新'!A:F,4,0)</f>
        <v>按施工面积计算，门窗面积按50%计算</v>
      </c>
      <c r="K73" s="81" t="str">
        <f>VLOOKUP(B73,'报价表 最新'!A:F,5,0)</f>
        <v>刷界面剂、挂网、补钉眼、铲胶、贴纸胶带、石膏找平、阴阳角处理、两遍腻子施工、打磨和一遍底漆施工等</v>
      </c>
      <c r="L73" s="82"/>
      <c r="M73" s="76"/>
    </row>
    <row r="74" ht="48" customHeight="1" outlineLevel="1" spans="1:13">
      <c r="A74" s="61">
        <f>+ROW()-ROW(A60)</f>
        <v>14</v>
      </c>
      <c r="B74" s="70" t="s">
        <v>45</v>
      </c>
      <c r="C74" s="63" t="str">
        <f>VLOOKUP(B74,'报价表 最新'!A:B,2,0)</f>
        <v>平米</v>
      </c>
      <c r="D74" s="71" t="s">
        <v>53</v>
      </c>
      <c r="E74" s="63"/>
      <c r="F74" s="72"/>
      <c r="G74" s="64"/>
      <c r="H74" s="66"/>
      <c r="I74" s="64"/>
      <c r="J74" s="80" t="str">
        <f>VLOOKUP(B74,'报价表 最新'!A:F,4,0)</f>
        <v>按施工面积计算
分色费另计</v>
      </c>
      <c r="K74" s="81" t="str">
        <f>VLOOKUP(B74,'报价表 最新'!A:F,5,0)</f>
        <v>面漆喷涂施工</v>
      </c>
      <c r="L74" s="82"/>
      <c r="M74" s="76"/>
    </row>
    <row r="75" ht="30" customHeight="1" outlineLevel="1" spans="1:13">
      <c r="A75" s="61">
        <f>+ROW()-ROW(A60)</f>
        <v>15</v>
      </c>
      <c r="B75" s="65" t="s">
        <v>54</v>
      </c>
      <c r="C75" s="63" t="str">
        <f>VLOOKUP(B75,'报价表 最新'!A:B,2,0)</f>
        <v>套</v>
      </c>
      <c r="D75" s="63" t="s">
        <v>55</v>
      </c>
      <c r="E75" s="63"/>
      <c r="F75" s="73"/>
      <c r="G75" s="64"/>
      <c r="H75" s="66"/>
      <c r="I75" s="64"/>
      <c r="J75" s="80" t="str">
        <f>VLOOKUP(B75,'报价表 最新'!A:F,4,0)</f>
        <v>按套数计算</v>
      </c>
      <c r="K75" s="81" t="str">
        <f>VLOOKUP(B75,'报价表 最新'!A:F,5,0)</f>
        <v>成品安装(含门套、门、五金)</v>
      </c>
      <c r="L75" s="82"/>
      <c r="M75" s="76"/>
    </row>
    <row r="76" ht="27" customHeight="1" spans="1:13">
      <c r="A76" s="57" t="s">
        <v>69</v>
      </c>
      <c r="B76" s="58"/>
      <c r="C76" s="59"/>
      <c r="D76" s="59"/>
      <c r="E76" s="59"/>
      <c r="F76" s="59"/>
      <c r="G76" s="60"/>
      <c r="H76" s="60"/>
      <c r="I76" s="60"/>
      <c r="J76" s="83"/>
      <c r="K76" s="84"/>
      <c r="L76" s="85"/>
      <c r="M76" s="76"/>
    </row>
    <row r="77" ht="30" customHeight="1" outlineLevel="1" spans="1:13">
      <c r="A77" s="61">
        <f t="shared" ref="A77:A91" si="2">+ROW()-ROW($A$76)</f>
        <v>1</v>
      </c>
      <c r="B77" s="65" t="s">
        <v>37</v>
      </c>
      <c r="C77" s="63" t="str">
        <f>VLOOKUP(B77,'报价表 最新'!A:B,2,0)</f>
        <v>立方</v>
      </c>
      <c r="D77" s="63"/>
      <c r="E77" s="63"/>
      <c r="F77" s="63"/>
      <c r="G77" s="64"/>
      <c r="H77" s="66"/>
      <c r="I77" s="64"/>
      <c r="J77" s="80" t="str">
        <f>VLOOKUP(B77,'报价表 最新'!A:F,4,0)</f>
        <v>按回填方量计算</v>
      </c>
      <c r="K77" s="81" t="str">
        <f>VLOOKUP(B77,'报价表 最新'!A:F,5,0)</f>
        <v>陶粒回填找平</v>
      </c>
      <c r="L77" s="82"/>
      <c r="M77" s="76"/>
    </row>
    <row r="78" ht="24.6" customHeight="1" outlineLevel="1" spans="1:13">
      <c r="A78" s="61">
        <f t="shared" si="2"/>
        <v>2</v>
      </c>
      <c r="B78" s="70" t="s">
        <v>58</v>
      </c>
      <c r="C78" s="63" t="str">
        <f>VLOOKUP(B78,'报价表 最新'!A:B,2,0)</f>
        <v>米</v>
      </c>
      <c r="D78" s="63"/>
      <c r="E78" s="63"/>
      <c r="F78" s="69"/>
      <c r="G78" s="64"/>
      <c r="H78" s="66"/>
      <c r="I78" s="64"/>
      <c r="J78" s="80" t="str">
        <f>VLOOKUP(B78,'报价表 最新'!A:F,4,0)</f>
        <v>按延长米计算，不足一米按一米计算</v>
      </c>
      <c r="K78" s="81" t="str">
        <f>VLOOKUP(B78,'报价表 最新'!A:F,5,0)</f>
        <v>成品安装</v>
      </c>
      <c r="L78" s="82"/>
      <c r="M78" s="76"/>
    </row>
    <row r="79" ht="63" customHeight="1" outlineLevel="1" spans="1:13">
      <c r="A79" s="61">
        <f t="shared" si="2"/>
        <v>3</v>
      </c>
      <c r="B79" s="62" t="s">
        <v>70</v>
      </c>
      <c r="C79" s="63" t="str">
        <f>VLOOKUP(B79,'报价表 最新'!A:B,2,0)</f>
        <v>平米</v>
      </c>
      <c r="D79" s="63"/>
      <c r="E79" s="63"/>
      <c r="F79" s="63"/>
      <c r="G79" s="64"/>
      <c r="H79" s="64"/>
      <c r="I79" s="64"/>
      <c r="J79" s="80" t="str">
        <f>VLOOKUP(B79,'报价表 最新'!A:F,4,0)</f>
        <v>按施工面积计算</v>
      </c>
      <c r="K79" s="81" t="str">
        <f>VLOOKUP(B79,'报价表 最新'!A:F,5,0)</f>
        <v>1.卫生间：沉箱地面清理，四周做R角处理，做柔性防水，防水超出沉箱上返300mm高，地面回填找平后做柔性防水+丙纶防水，墙面通用防水
2.厨房、阳台：地面清理后做柔性防水，墙面通用防水</v>
      </c>
      <c r="L79" s="82"/>
      <c r="M79" s="76"/>
    </row>
    <row r="80" ht="30" customHeight="1" outlineLevel="1" spans="1:13">
      <c r="A80" s="61">
        <f t="shared" si="2"/>
        <v>4</v>
      </c>
      <c r="B80" s="62" t="s">
        <v>71</v>
      </c>
      <c r="C80" s="63" t="str">
        <f>VLOOKUP(B80,'报价表 最新'!A:B,2,0)</f>
        <v>平米</v>
      </c>
      <c r="D80" s="63"/>
      <c r="E80" s="63"/>
      <c r="F80" s="63"/>
      <c r="G80" s="64"/>
      <c r="H80" s="64"/>
      <c r="I80" s="64"/>
      <c r="J80" s="80" t="str">
        <f>VLOOKUP(B80,'报价表 最新'!A:F,4,0)</f>
        <v>按施工面积计算</v>
      </c>
      <c r="K80" s="81" t="str">
        <f>VLOOKUP(B80,'报价表 最新'!A:F,5,0)</f>
        <v>水泥河沙保护层施工</v>
      </c>
      <c r="L80" s="82"/>
      <c r="M80" s="76"/>
    </row>
    <row r="81" ht="30" customHeight="1" outlineLevel="1" spans="1:13">
      <c r="A81" s="61">
        <f t="shared" si="2"/>
        <v>5</v>
      </c>
      <c r="B81" s="70" t="s">
        <v>72</v>
      </c>
      <c r="C81" s="63" t="str">
        <f>VLOOKUP(B81,'报价表 最新'!A:B,2,0)</f>
        <v>平米</v>
      </c>
      <c r="D81" s="63"/>
      <c r="E81" s="68">
        <v>0.07</v>
      </c>
      <c r="F81" s="73"/>
      <c r="G81" s="64"/>
      <c r="H81" s="66"/>
      <c r="I81" s="64"/>
      <c r="J81" s="80" t="str">
        <f>VLOOKUP(B81,'报价表 最新'!A:F,4,0)</f>
        <v>按施工面积计算</v>
      </c>
      <c r="K81" s="81" t="str">
        <f>VLOOKUP(B81,'报价表 最新'!A:F,5,0)</f>
        <v>水泥砂浆贴砖，含墙砖背胶处理、瓷砖加工、缝隙清理、瓷砖面清理、勾缝、阳角保护等</v>
      </c>
      <c r="L81" s="82"/>
      <c r="M81" s="76"/>
    </row>
    <row r="82" ht="30" customHeight="1" outlineLevel="1" spans="1:13">
      <c r="A82" s="61">
        <f t="shared" si="2"/>
        <v>6</v>
      </c>
      <c r="B82" s="70" t="s">
        <v>73</v>
      </c>
      <c r="C82" s="63" t="str">
        <f>VLOOKUP(B82,'报价表 最新'!A:B,2,0)</f>
        <v>平米</v>
      </c>
      <c r="D82" s="63"/>
      <c r="E82" s="68"/>
      <c r="F82" s="69"/>
      <c r="G82" s="64"/>
      <c r="H82" s="66"/>
      <c r="I82" s="64"/>
      <c r="J82" s="80" t="str">
        <f>VLOOKUP(B82,'报价表 最新'!A:F,4,0)</f>
        <v>按施工面积计算</v>
      </c>
      <c r="K82" s="81" t="str">
        <f>VLOOKUP(B82,'报价表 最新'!A:F,5,0)</f>
        <v>包含清理缝隙、美缝剂、人工施工等</v>
      </c>
      <c r="L82" s="82"/>
      <c r="M82" s="76"/>
    </row>
    <row r="83" ht="30" customHeight="1" outlineLevel="1" spans="1:13">
      <c r="A83" s="61">
        <f t="shared" si="2"/>
        <v>7</v>
      </c>
      <c r="B83" s="70" t="s">
        <v>74</v>
      </c>
      <c r="C83" s="63" t="str">
        <f>VLOOKUP(B83,'报价表 最新'!A:B,2,0)</f>
        <v>平米</v>
      </c>
      <c r="D83" s="63"/>
      <c r="E83" s="68">
        <v>0.07</v>
      </c>
      <c r="F83" s="73"/>
      <c r="G83" s="64"/>
      <c r="H83" s="66"/>
      <c r="I83" s="64"/>
      <c r="J83" s="80" t="str">
        <f>VLOOKUP(B83,'报价表 最新'!A:F,4,0)</f>
        <v>按施工面积计算</v>
      </c>
      <c r="K83" s="81" t="str">
        <f>VLOOKUP(B83,'报价表 最新'!A:F,5,0)</f>
        <v>水泥砂浆贴砖，含墙砖背胶处理、瓷砖加工、缝隙清理、瓷砖面清理、勾缝、阳角保护等</v>
      </c>
      <c r="L83" s="82"/>
      <c r="M83" s="76"/>
    </row>
    <row r="84" ht="30" customHeight="1" outlineLevel="1" spans="1:13">
      <c r="A84" s="61">
        <f t="shared" si="2"/>
        <v>8</v>
      </c>
      <c r="B84" s="70" t="s">
        <v>73</v>
      </c>
      <c r="C84" s="63" t="str">
        <f>VLOOKUP(B84,'报价表 最新'!A:B,2,0)</f>
        <v>平米</v>
      </c>
      <c r="D84" s="63"/>
      <c r="E84" s="68"/>
      <c r="F84" s="69"/>
      <c r="G84" s="64"/>
      <c r="H84" s="66"/>
      <c r="I84" s="64"/>
      <c r="J84" s="80" t="str">
        <f>VLOOKUP(B84,'报价表 最新'!A:F,4,0)</f>
        <v>按施工面积计算</v>
      </c>
      <c r="K84" s="81" t="str">
        <f>VLOOKUP(B84,'报价表 最新'!A:F,5,0)</f>
        <v>包含清理缝隙、美缝剂、人工施工等</v>
      </c>
      <c r="L84" s="82"/>
      <c r="M84" s="76"/>
    </row>
    <row r="85" ht="40.05" customHeight="1" outlineLevel="1" spans="1:13">
      <c r="A85" s="61">
        <f t="shared" si="2"/>
        <v>9</v>
      </c>
      <c r="B85" s="65" t="s">
        <v>75</v>
      </c>
      <c r="C85" s="63" t="str">
        <f>VLOOKUP(B85,'报价表 最新'!A:B,2,0)</f>
        <v>平米</v>
      </c>
      <c r="D85" s="63"/>
      <c r="E85" s="63"/>
      <c r="F85" s="63"/>
      <c r="G85" s="64"/>
      <c r="H85" s="66"/>
      <c r="I85" s="64"/>
      <c r="J85" s="80" t="str">
        <f>VLOOKUP(B85,'报价表 最新'!A:F,4,0)</f>
        <v>按展开面积计算</v>
      </c>
      <c r="K85" s="81" t="str">
        <f>VLOOKUP(B85,'报价表 最新'!A:F,5,0)</f>
        <v>包含打眼、吊筋、主副龙骨、单层石膏板安装、转角加固等</v>
      </c>
      <c r="L85" s="82"/>
      <c r="M85" s="76"/>
    </row>
    <row r="86" ht="30" customHeight="1" outlineLevel="1" spans="1:13">
      <c r="A86" s="61">
        <f t="shared" si="2"/>
        <v>10</v>
      </c>
      <c r="B86" s="62" t="s">
        <v>51</v>
      </c>
      <c r="C86" s="63" t="str">
        <f>VLOOKUP(B86,'报价表 最新'!A:B,2,0)</f>
        <v>米</v>
      </c>
      <c r="D86" s="63"/>
      <c r="E86" s="63"/>
      <c r="F86" s="63"/>
      <c r="G86" s="64"/>
      <c r="H86" s="64"/>
      <c r="I86" s="64"/>
      <c r="J86" s="80" t="str">
        <f>VLOOKUP(B86,'报价表 最新'!A:F,4,0)</f>
        <v>按米数计算，单个设备孔最低收费1米</v>
      </c>
      <c r="K86" s="81" t="str">
        <f>VLOOKUP(B86,'报价表 最新'!A:F,5,0)</f>
        <v>包含放线、定位、开孔及加固处理等</v>
      </c>
      <c r="L86" s="82"/>
      <c r="M86" s="76"/>
    </row>
    <row r="87" ht="30" customHeight="1" outlineLevel="1" spans="1:13">
      <c r="A87" s="61">
        <f t="shared" si="2"/>
        <v>11</v>
      </c>
      <c r="B87" s="62" t="s">
        <v>76</v>
      </c>
      <c r="C87" s="63" t="str">
        <f>VLOOKUP(B87,'报价表 最新'!A:B,2,0)</f>
        <v>个</v>
      </c>
      <c r="D87" s="63"/>
      <c r="E87" s="63"/>
      <c r="F87" s="63"/>
      <c r="G87" s="64"/>
      <c r="H87" s="64"/>
      <c r="I87" s="64"/>
      <c r="J87" s="80" t="str">
        <f>VLOOKUP(B87,'报价表 最新'!A:F,4,0)</f>
        <v>按个数计算</v>
      </c>
      <c r="K87" s="81" t="str">
        <f>VLOOKUP(B87,'报价表 最新'!A:F,5,0)</f>
        <v>包含放线、定位、开孔及加固处理等</v>
      </c>
      <c r="L87" s="82"/>
      <c r="M87" s="76"/>
    </row>
    <row r="88" ht="30" customHeight="1" outlineLevel="1" spans="1:13">
      <c r="A88" s="61">
        <f t="shared" si="2"/>
        <v>12</v>
      </c>
      <c r="B88" s="70" t="s">
        <v>77</v>
      </c>
      <c r="C88" s="63" t="str">
        <f>VLOOKUP(B88,'报价表 最新'!A:B,2,0)</f>
        <v>平米</v>
      </c>
      <c r="D88" s="63"/>
      <c r="E88" s="63"/>
      <c r="F88" s="63"/>
      <c r="G88" s="64"/>
      <c r="H88" s="66"/>
      <c r="I88" s="64"/>
      <c r="J88" s="80" t="str">
        <f>VLOOKUP(B88,'报价表 最新'!A:F,4,0)</f>
        <v>按施工面积计算，门窗面积按50%计算</v>
      </c>
      <c r="K88" s="81" t="str">
        <f>VLOOKUP(B88,'报价表 最新'!A:F,5,0)</f>
        <v>刷界面剂、挂网、补钉眼、铲胶、贴纸胶带、石膏找平、阴阳角处理、两遍腻子施工、打磨和一遍底漆施工等</v>
      </c>
      <c r="L88" s="82"/>
      <c r="M88" s="76"/>
    </row>
    <row r="89" ht="52.95" customHeight="1" outlineLevel="1" spans="1:13">
      <c r="A89" s="61">
        <f t="shared" si="2"/>
        <v>13</v>
      </c>
      <c r="B89" s="70" t="s">
        <v>45</v>
      </c>
      <c r="C89" s="63" t="str">
        <f>VLOOKUP(B89,'报价表 最新'!A:B,2,0)</f>
        <v>平米</v>
      </c>
      <c r="D89" s="71" t="s">
        <v>53</v>
      </c>
      <c r="E89" s="63"/>
      <c r="F89" s="72"/>
      <c r="G89" s="64"/>
      <c r="H89" s="66"/>
      <c r="I89" s="64"/>
      <c r="J89" s="80" t="str">
        <f>VLOOKUP(B89,'报价表 最新'!A:F,4,0)</f>
        <v>按施工面积计算
分色费另计</v>
      </c>
      <c r="K89" s="81" t="str">
        <f>VLOOKUP(B89,'报价表 最新'!A:F,5,0)</f>
        <v>面漆喷涂施工</v>
      </c>
      <c r="L89" s="82"/>
      <c r="M89" s="76"/>
    </row>
    <row r="90" ht="30" customHeight="1" outlineLevel="1" spans="1:13">
      <c r="A90" s="61">
        <f t="shared" si="2"/>
        <v>14</v>
      </c>
      <c r="B90" s="65" t="s">
        <v>78</v>
      </c>
      <c r="C90" s="63" t="s">
        <v>22</v>
      </c>
      <c r="D90" s="63"/>
      <c r="E90" s="63"/>
      <c r="F90" s="73"/>
      <c r="G90" s="64"/>
      <c r="H90" s="66"/>
      <c r="I90" s="64"/>
      <c r="J90" s="80" t="s">
        <v>62</v>
      </c>
      <c r="K90" s="81"/>
      <c r="L90" s="82"/>
      <c r="M90" s="76"/>
    </row>
    <row r="91" ht="30" customHeight="1" outlineLevel="1" spans="1:13">
      <c r="A91" s="61">
        <f t="shared" si="2"/>
        <v>15</v>
      </c>
      <c r="B91" s="65" t="s">
        <v>79</v>
      </c>
      <c r="C91" s="63" t="s">
        <v>80</v>
      </c>
      <c r="D91" s="63"/>
      <c r="E91" s="63"/>
      <c r="F91" s="73"/>
      <c r="G91" s="64"/>
      <c r="H91" s="66"/>
      <c r="I91" s="64"/>
      <c r="J91" s="80"/>
      <c r="K91" s="81"/>
      <c r="L91" s="82"/>
      <c r="M91" s="76"/>
    </row>
    <row r="92" ht="30" customHeight="1" outlineLevel="1" spans="1:13">
      <c r="A92" s="61">
        <f t="shared" ref="A92:A97" si="3">+ROW()-ROW($A$76)</f>
        <v>16</v>
      </c>
      <c r="B92" s="65" t="s">
        <v>81</v>
      </c>
      <c r="C92" s="63" t="s">
        <v>82</v>
      </c>
      <c r="D92" s="63" t="s">
        <v>83</v>
      </c>
      <c r="E92" s="63"/>
      <c r="F92" s="73"/>
      <c r="G92" s="64"/>
      <c r="H92" s="66"/>
      <c r="I92" s="64"/>
      <c r="J92" s="80" t="s">
        <v>84</v>
      </c>
      <c r="K92" s="81" t="s">
        <v>85</v>
      </c>
      <c r="L92" s="82"/>
      <c r="M92" s="76"/>
    </row>
    <row r="93" ht="30" customHeight="1" outlineLevel="1" spans="1:13">
      <c r="A93" s="61">
        <f t="shared" si="3"/>
        <v>17</v>
      </c>
      <c r="B93" s="65" t="s">
        <v>86</v>
      </c>
      <c r="C93" s="63" t="str">
        <f>VLOOKUP(B93,'报价表 最新'!A:B,2,0)</f>
        <v>套</v>
      </c>
      <c r="D93" s="48" t="s">
        <v>87</v>
      </c>
      <c r="E93" s="63"/>
      <c r="F93" s="73"/>
      <c r="G93" s="64"/>
      <c r="H93" s="66"/>
      <c r="I93" s="64"/>
      <c r="J93" s="80" t="str">
        <f>VLOOKUP(B93,'报价表 最新'!A:F,4,0)</f>
        <v>按套数计算</v>
      </c>
      <c r="K93" s="81" t="str">
        <f>VLOOKUP(B93,'报价表 最新'!A:F,5,0)</f>
        <v>成品安装</v>
      </c>
      <c r="L93" s="82"/>
      <c r="M93" s="76"/>
    </row>
    <row r="94" ht="30" customHeight="1" outlineLevel="1" spans="1:13">
      <c r="A94" s="61">
        <f t="shared" si="3"/>
        <v>18</v>
      </c>
      <c r="B94" s="65" t="s">
        <v>88</v>
      </c>
      <c r="C94" s="63" t="s">
        <v>82</v>
      </c>
      <c r="D94" s="63" t="s">
        <v>87</v>
      </c>
      <c r="E94" s="63"/>
      <c r="F94" s="73"/>
      <c r="G94" s="64"/>
      <c r="H94" s="66"/>
      <c r="I94" s="64"/>
      <c r="J94" s="80" t="s">
        <v>84</v>
      </c>
      <c r="K94" s="81" t="s">
        <v>85</v>
      </c>
      <c r="L94" s="82"/>
      <c r="M94" s="76"/>
    </row>
    <row r="95" ht="30" customHeight="1" outlineLevel="1" spans="1:13">
      <c r="A95" s="61">
        <f t="shared" si="3"/>
        <v>19</v>
      </c>
      <c r="B95" s="65" t="s">
        <v>89</v>
      </c>
      <c r="C95" s="63" t="s">
        <v>82</v>
      </c>
      <c r="D95" s="63" t="s">
        <v>87</v>
      </c>
      <c r="E95" s="63"/>
      <c r="F95" s="73"/>
      <c r="G95" s="64"/>
      <c r="H95" s="66"/>
      <c r="I95" s="64"/>
      <c r="J95" s="80" t="s">
        <v>84</v>
      </c>
      <c r="K95" s="81" t="s">
        <v>85</v>
      </c>
      <c r="L95" s="82"/>
      <c r="M95" s="76"/>
    </row>
    <row r="96" ht="30" customHeight="1" outlineLevel="1" spans="1:13">
      <c r="A96" s="61">
        <f t="shared" si="3"/>
        <v>20</v>
      </c>
      <c r="B96" s="65" t="s">
        <v>90</v>
      </c>
      <c r="C96" s="63" t="s">
        <v>82</v>
      </c>
      <c r="D96" s="63"/>
      <c r="E96" s="63"/>
      <c r="F96" s="73"/>
      <c r="G96" s="64"/>
      <c r="H96" s="66"/>
      <c r="I96" s="64"/>
      <c r="J96" s="80" t="s">
        <v>84</v>
      </c>
      <c r="K96" s="81" t="s">
        <v>85</v>
      </c>
      <c r="L96" s="82"/>
      <c r="M96" s="76"/>
    </row>
    <row r="97" ht="30" customHeight="1" outlineLevel="1" spans="1:13">
      <c r="A97" s="61">
        <f t="shared" si="3"/>
        <v>21</v>
      </c>
      <c r="B97" s="65" t="s">
        <v>91</v>
      </c>
      <c r="C97" s="63" t="s">
        <v>92</v>
      </c>
      <c r="D97" s="63"/>
      <c r="E97" s="63"/>
      <c r="F97" s="73"/>
      <c r="G97" s="64"/>
      <c r="H97" s="66"/>
      <c r="I97" s="64"/>
      <c r="J97" s="80"/>
      <c r="K97" s="81"/>
      <c r="L97" s="82"/>
      <c r="M97" s="76"/>
    </row>
    <row r="98" s="49" customFormat="1" ht="30" customHeight="1" outlineLevel="1" spans="1:12">
      <c r="A98" s="63">
        <f t="shared" ref="A98:A100" si="4">+ROW()-ROW($A$76)</f>
        <v>22</v>
      </c>
      <c r="B98" s="62" t="s">
        <v>93</v>
      </c>
      <c r="C98" s="63" t="s">
        <v>92</v>
      </c>
      <c r="D98" s="71"/>
      <c r="E98" s="63"/>
      <c r="F98" s="72"/>
      <c r="G98" s="64"/>
      <c r="H98" s="64"/>
      <c r="I98" s="64"/>
      <c r="J98" s="80" t="s">
        <v>84</v>
      </c>
      <c r="K98" s="81" t="s">
        <v>85</v>
      </c>
      <c r="L98" s="82"/>
    </row>
    <row r="99" s="49" customFormat="1" ht="30" customHeight="1" outlineLevel="1" spans="1:12">
      <c r="A99" s="61">
        <f t="shared" si="4"/>
        <v>23</v>
      </c>
      <c r="B99" s="70" t="s">
        <v>57</v>
      </c>
      <c r="C99" s="63" t="s">
        <v>42</v>
      </c>
      <c r="D99" s="63"/>
      <c r="E99" s="68"/>
      <c r="F99" s="69"/>
      <c r="G99" s="64"/>
      <c r="H99" s="66"/>
      <c r="I99" s="64"/>
      <c r="J99" s="80" t="s">
        <v>43</v>
      </c>
      <c r="K99" s="81"/>
      <c r="L99" s="82"/>
    </row>
    <row r="100" ht="30" customHeight="1" outlineLevel="1" spans="1:13">
      <c r="A100" s="61">
        <f t="shared" si="4"/>
        <v>24</v>
      </c>
      <c r="B100" s="65" t="s">
        <v>54</v>
      </c>
      <c r="C100" s="63" t="str">
        <f>VLOOKUP(B100,'报价表 最新'!A:B,2,0)</f>
        <v>套</v>
      </c>
      <c r="D100" s="63"/>
      <c r="E100" s="63"/>
      <c r="F100" s="73"/>
      <c r="G100" s="64"/>
      <c r="H100" s="66"/>
      <c r="I100" s="64"/>
      <c r="J100" s="80" t="str">
        <f>VLOOKUP(B100,'报价表 最新'!A:F,4,0)</f>
        <v>按套数计算</v>
      </c>
      <c r="K100" s="81" t="str">
        <f>VLOOKUP(B100,'报价表 最新'!A:F,5,0)</f>
        <v>成品安装(含门套、门、五金)</v>
      </c>
      <c r="L100" s="82"/>
      <c r="M100" s="76"/>
    </row>
    <row r="101" ht="30" customHeight="1" spans="1:13">
      <c r="A101" s="57" t="s">
        <v>94</v>
      </c>
      <c r="B101" s="58"/>
      <c r="C101" s="59"/>
      <c r="D101" s="59"/>
      <c r="E101" s="59"/>
      <c r="F101" s="59"/>
      <c r="G101" s="60"/>
      <c r="H101" s="60"/>
      <c r="I101" s="60"/>
      <c r="J101" s="83"/>
      <c r="K101" s="84"/>
      <c r="L101" s="85"/>
      <c r="M101" s="76"/>
    </row>
    <row r="102" ht="30" customHeight="1" outlineLevel="1" spans="1:13">
      <c r="A102" s="61">
        <f t="shared" ref="A102:A125" si="5">+ROW()-ROW($A$76)</f>
        <v>26</v>
      </c>
      <c r="B102" s="65" t="s">
        <v>37</v>
      </c>
      <c r="C102" s="63" t="str">
        <f>VLOOKUP(B102,'报价表 最新'!A:B,2,0)</f>
        <v>立方</v>
      </c>
      <c r="D102" s="63"/>
      <c r="E102" s="63"/>
      <c r="F102" s="63"/>
      <c r="G102" s="64"/>
      <c r="H102" s="66"/>
      <c r="I102" s="64"/>
      <c r="J102" s="80" t="str">
        <f>VLOOKUP(B102,'报价表 最新'!A:F,4,0)</f>
        <v>按回填方量计算</v>
      </c>
      <c r="K102" s="81" t="str">
        <f>VLOOKUP(B102,'报价表 最新'!A:F,5,0)</f>
        <v>陶粒回填找平</v>
      </c>
      <c r="L102" s="82"/>
      <c r="M102" s="76"/>
    </row>
    <row r="103" ht="30" customHeight="1" outlineLevel="1" spans="1:13">
      <c r="A103" s="61">
        <f t="shared" si="5"/>
        <v>27</v>
      </c>
      <c r="B103" s="70" t="s">
        <v>58</v>
      </c>
      <c r="C103" s="63" t="str">
        <f>VLOOKUP(B103,'报价表 最新'!A:B,2,0)</f>
        <v>米</v>
      </c>
      <c r="D103" s="63"/>
      <c r="E103" s="63"/>
      <c r="F103" s="69"/>
      <c r="G103" s="64"/>
      <c r="H103" s="66"/>
      <c r="I103" s="64"/>
      <c r="J103" s="80" t="str">
        <f>VLOOKUP(B103,'报价表 最新'!A:F,4,0)</f>
        <v>按延长米计算，不足一米按一米计算</v>
      </c>
      <c r="K103" s="81" t="str">
        <f>VLOOKUP(B103,'报价表 最新'!A:F,5,0)</f>
        <v>成品安装</v>
      </c>
      <c r="L103" s="82"/>
      <c r="M103" s="76"/>
    </row>
    <row r="104" ht="30" customHeight="1" outlineLevel="1" spans="1:13">
      <c r="A104" s="61">
        <f t="shared" si="5"/>
        <v>28</v>
      </c>
      <c r="B104" s="62" t="s">
        <v>70</v>
      </c>
      <c r="C104" s="63" t="str">
        <f>VLOOKUP(B104,'报价表 最新'!A:B,2,0)</f>
        <v>平米</v>
      </c>
      <c r="D104" s="63"/>
      <c r="E104" s="63"/>
      <c r="F104" s="63"/>
      <c r="G104" s="64"/>
      <c r="H104" s="64"/>
      <c r="I104" s="64"/>
      <c r="J104" s="80" t="str">
        <f>VLOOKUP(B104,'报价表 最新'!A:F,4,0)</f>
        <v>按施工面积计算</v>
      </c>
      <c r="K104" s="81" t="str">
        <f>VLOOKUP(B104,'报价表 最新'!A:F,5,0)</f>
        <v>1.卫生间：沉箱地面清理，四周做R角处理，做柔性防水，防水超出沉箱上返300mm高，地面回填找平后做柔性防水+丙纶防水，墙面通用防水
2.厨房、阳台：地面清理后做柔性防水，墙面通用防水</v>
      </c>
      <c r="L104" s="82"/>
      <c r="M104" s="76"/>
    </row>
    <row r="105" ht="30" customHeight="1" outlineLevel="1" spans="1:13">
      <c r="A105" s="61">
        <f t="shared" si="5"/>
        <v>29</v>
      </c>
      <c r="B105" s="62" t="s">
        <v>71</v>
      </c>
      <c r="C105" s="63" t="str">
        <f>VLOOKUP(B105,'报价表 最新'!A:B,2,0)</f>
        <v>平米</v>
      </c>
      <c r="D105" s="63"/>
      <c r="E105" s="63"/>
      <c r="F105" s="63"/>
      <c r="G105" s="64"/>
      <c r="H105" s="64"/>
      <c r="I105" s="64"/>
      <c r="J105" s="80" t="str">
        <f>VLOOKUP(B105,'报价表 最新'!A:F,4,0)</f>
        <v>按施工面积计算</v>
      </c>
      <c r="K105" s="81" t="str">
        <f>VLOOKUP(B105,'报价表 最新'!A:F,5,0)</f>
        <v>水泥河沙保护层施工</v>
      </c>
      <c r="L105" s="82"/>
      <c r="M105" s="76"/>
    </row>
    <row r="106" ht="30" customHeight="1" outlineLevel="1" spans="1:13">
      <c r="A106" s="61">
        <f t="shared" si="5"/>
        <v>30</v>
      </c>
      <c r="B106" s="70" t="s">
        <v>72</v>
      </c>
      <c r="C106" s="63" t="str">
        <f>VLOOKUP(B106,'报价表 最新'!A:B,2,0)</f>
        <v>平米</v>
      </c>
      <c r="D106" s="63"/>
      <c r="E106" s="68">
        <v>0.07</v>
      </c>
      <c r="F106" s="73"/>
      <c r="G106" s="64"/>
      <c r="H106" s="66"/>
      <c r="I106" s="64"/>
      <c r="J106" s="80" t="str">
        <f>VLOOKUP(B106,'报价表 最新'!A:F,4,0)</f>
        <v>按施工面积计算</v>
      </c>
      <c r="K106" s="81" t="str">
        <f>VLOOKUP(B106,'报价表 最新'!A:F,5,0)</f>
        <v>水泥砂浆贴砖，含墙砖背胶处理、瓷砖加工、缝隙清理、瓷砖面清理、勾缝、阳角保护等</v>
      </c>
      <c r="L106" s="82"/>
      <c r="M106" s="76"/>
    </row>
    <row r="107" ht="30" customHeight="1" outlineLevel="1" spans="1:13">
      <c r="A107" s="61">
        <f t="shared" si="5"/>
        <v>31</v>
      </c>
      <c r="B107" s="70" t="s">
        <v>73</v>
      </c>
      <c r="C107" s="63" t="str">
        <f>VLOOKUP(B107,'报价表 最新'!A:B,2,0)</f>
        <v>平米</v>
      </c>
      <c r="D107" s="63"/>
      <c r="E107" s="68"/>
      <c r="F107" s="69"/>
      <c r="G107" s="64"/>
      <c r="H107" s="66"/>
      <c r="I107" s="64"/>
      <c r="J107" s="80" t="str">
        <f>VLOOKUP(B107,'报价表 最新'!A:F,4,0)</f>
        <v>按施工面积计算</v>
      </c>
      <c r="K107" s="81" t="str">
        <f>VLOOKUP(B107,'报价表 最新'!A:F,5,0)</f>
        <v>包含清理缝隙、美缝剂、人工施工等</v>
      </c>
      <c r="L107" s="82"/>
      <c r="M107" s="76"/>
    </row>
    <row r="108" ht="30" customHeight="1" outlineLevel="1" spans="1:13">
      <c r="A108" s="61">
        <f t="shared" si="5"/>
        <v>32</v>
      </c>
      <c r="B108" s="70" t="s">
        <v>74</v>
      </c>
      <c r="C108" s="63" t="str">
        <f>VLOOKUP(B108,'报价表 最新'!A:B,2,0)</f>
        <v>平米</v>
      </c>
      <c r="D108" s="63"/>
      <c r="E108" s="68">
        <v>0.07</v>
      </c>
      <c r="F108" s="73"/>
      <c r="G108" s="64"/>
      <c r="H108" s="66"/>
      <c r="I108" s="64"/>
      <c r="J108" s="80" t="str">
        <f>VLOOKUP(B108,'报价表 最新'!A:F,4,0)</f>
        <v>按施工面积计算</v>
      </c>
      <c r="K108" s="81" t="str">
        <f>VLOOKUP(B108,'报价表 最新'!A:F,5,0)</f>
        <v>水泥砂浆贴砖，含墙砖背胶处理、瓷砖加工、缝隙清理、瓷砖面清理、勾缝、阳角保护等</v>
      </c>
      <c r="L108" s="82"/>
      <c r="M108" s="76"/>
    </row>
    <row r="109" ht="30" customHeight="1" outlineLevel="1" spans="1:13">
      <c r="A109" s="61">
        <f t="shared" si="5"/>
        <v>33</v>
      </c>
      <c r="B109" s="70" t="s">
        <v>73</v>
      </c>
      <c r="C109" s="63" t="str">
        <f>VLOOKUP(B109,'报价表 最新'!A:B,2,0)</f>
        <v>平米</v>
      </c>
      <c r="D109" s="63"/>
      <c r="E109" s="68"/>
      <c r="F109" s="69"/>
      <c r="G109" s="64"/>
      <c r="H109" s="66"/>
      <c r="I109" s="64"/>
      <c r="J109" s="80" t="str">
        <f>VLOOKUP(B109,'报价表 最新'!A:F,4,0)</f>
        <v>按施工面积计算</v>
      </c>
      <c r="K109" s="81" t="str">
        <f>VLOOKUP(B109,'报价表 最新'!A:F,5,0)</f>
        <v>包含清理缝隙、美缝剂、人工施工等</v>
      </c>
      <c r="L109" s="82"/>
      <c r="M109" s="76"/>
    </row>
    <row r="110" ht="30" customHeight="1" outlineLevel="1" spans="1:13">
      <c r="A110" s="61">
        <f t="shared" si="5"/>
        <v>34</v>
      </c>
      <c r="B110" s="65" t="s">
        <v>75</v>
      </c>
      <c r="C110" s="63" t="str">
        <f>VLOOKUP(B110,'报价表 最新'!A:B,2,0)</f>
        <v>平米</v>
      </c>
      <c r="D110" s="63"/>
      <c r="E110" s="63"/>
      <c r="F110" s="63"/>
      <c r="G110" s="64"/>
      <c r="H110" s="66"/>
      <c r="I110" s="64"/>
      <c r="J110" s="80" t="str">
        <f>VLOOKUP(B110,'报价表 最新'!A:F,4,0)</f>
        <v>按展开面积计算</v>
      </c>
      <c r="K110" s="81" t="str">
        <f>VLOOKUP(B110,'报价表 最新'!A:F,5,0)</f>
        <v>包含打眼、吊筋、主副龙骨、单层石膏板安装、转角加固等</v>
      </c>
      <c r="L110" s="82"/>
      <c r="M110" s="76"/>
    </row>
    <row r="111" ht="30" customHeight="1" outlineLevel="1" spans="1:13">
      <c r="A111" s="61">
        <f t="shared" si="5"/>
        <v>35</v>
      </c>
      <c r="B111" s="62" t="s">
        <v>51</v>
      </c>
      <c r="C111" s="63" t="str">
        <f>VLOOKUP(B111,'报价表 最新'!A:B,2,0)</f>
        <v>米</v>
      </c>
      <c r="D111" s="63"/>
      <c r="E111" s="63"/>
      <c r="F111" s="63"/>
      <c r="G111" s="64"/>
      <c r="H111" s="64"/>
      <c r="I111" s="64"/>
      <c r="J111" s="80" t="str">
        <f>VLOOKUP(B111,'报价表 最新'!A:F,4,0)</f>
        <v>按米数计算，单个设备孔最低收费1米</v>
      </c>
      <c r="K111" s="81" t="str">
        <f>VLOOKUP(B111,'报价表 最新'!A:F,5,0)</f>
        <v>包含放线、定位、开孔及加固处理等</v>
      </c>
      <c r="L111" s="82"/>
      <c r="M111" s="76"/>
    </row>
    <row r="112" ht="30" customHeight="1" outlineLevel="1" spans="1:13">
      <c r="A112" s="61">
        <f t="shared" si="5"/>
        <v>36</v>
      </c>
      <c r="B112" s="62" t="s">
        <v>76</v>
      </c>
      <c r="C112" s="63" t="str">
        <f>VLOOKUP(B112,'报价表 最新'!A:B,2,0)</f>
        <v>个</v>
      </c>
      <c r="D112" s="63"/>
      <c r="E112" s="63"/>
      <c r="F112" s="63"/>
      <c r="G112" s="64"/>
      <c r="H112" s="64"/>
      <c r="I112" s="64"/>
      <c r="J112" s="80" t="str">
        <f>VLOOKUP(B112,'报价表 最新'!A:F,4,0)</f>
        <v>按个数计算</v>
      </c>
      <c r="K112" s="81" t="str">
        <f>VLOOKUP(B112,'报价表 最新'!A:F,5,0)</f>
        <v>包含放线、定位、开孔及加固处理等</v>
      </c>
      <c r="L112" s="82"/>
      <c r="M112" s="76"/>
    </row>
    <row r="113" ht="30" customHeight="1" outlineLevel="1" spans="1:13">
      <c r="A113" s="61">
        <f t="shared" si="5"/>
        <v>37</v>
      </c>
      <c r="B113" s="70" t="s">
        <v>77</v>
      </c>
      <c r="C113" s="63" t="str">
        <f>VLOOKUP(B113,'报价表 最新'!A:B,2,0)</f>
        <v>平米</v>
      </c>
      <c r="D113" s="63"/>
      <c r="E113" s="63"/>
      <c r="F113" s="63"/>
      <c r="G113" s="64"/>
      <c r="H113" s="66"/>
      <c r="I113" s="64"/>
      <c r="J113" s="80" t="str">
        <f>VLOOKUP(B113,'报价表 最新'!A:F,4,0)</f>
        <v>按施工面积计算，门窗面积按50%计算</v>
      </c>
      <c r="K113" s="81" t="str">
        <f>VLOOKUP(B113,'报价表 最新'!A:F,5,0)</f>
        <v>刷界面剂、挂网、补钉眼、铲胶、贴纸胶带、石膏找平、阴阳角处理、两遍腻子施工、打磨和一遍底漆施工等</v>
      </c>
      <c r="L113" s="82"/>
      <c r="M113" s="76"/>
    </row>
    <row r="114" ht="52.95" customHeight="1" outlineLevel="1" spans="1:13">
      <c r="A114" s="61">
        <f t="shared" si="5"/>
        <v>38</v>
      </c>
      <c r="B114" s="70" t="s">
        <v>45</v>
      </c>
      <c r="C114" s="63" t="str">
        <f>VLOOKUP(B114,'报价表 最新'!A:B,2,0)</f>
        <v>平米</v>
      </c>
      <c r="D114" s="71"/>
      <c r="E114" s="63"/>
      <c r="F114" s="72"/>
      <c r="G114" s="64"/>
      <c r="H114" s="66"/>
      <c r="I114" s="64"/>
      <c r="J114" s="80" t="str">
        <f>VLOOKUP(B114,'报价表 最新'!A:F,4,0)</f>
        <v>按施工面积计算
分色费另计</v>
      </c>
      <c r="K114" s="81" t="str">
        <f>VLOOKUP(B114,'报价表 最新'!A:F,5,0)</f>
        <v>面漆喷涂施工</v>
      </c>
      <c r="L114" s="82"/>
      <c r="M114" s="76"/>
    </row>
    <row r="115" ht="30" customHeight="1" outlineLevel="1" spans="1:13">
      <c r="A115" s="61">
        <f t="shared" si="5"/>
        <v>39</v>
      </c>
      <c r="B115" s="65" t="s">
        <v>78</v>
      </c>
      <c r="C115" s="63" t="s">
        <v>22</v>
      </c>
      <c r="D115" s="63"/>
      <c r="E115" s="63"/>
      <c r="F115" s="73"/>
      <c r="G115" s="64"/>
      <c r="H115" s="66"/>
      <c r="I115" s="64"/>
      <c r="J115" s="80" t="s">
        <v>62</v>
      </c>
      <c r="K115" s="81"/>
      <c r="L115" s="82"/>
      <c r="M115" s="76"/>
    </row>
    <row r="116" ht="30" customHeight="1" outlineLevel="1" spans="1:13">
      <c r="A116" s="61">
        <f t="shared" si="5"/>
        <v>40</v>
      </c>
      <c r="B116" s="65" t="s">
        <v>79</v>
      </c>
      <c r="C116" s="63" t="s">
        <v>80</v>
      </c>
      <c r="D116" s="63"/>
      <c r="E116" s="63"/>
      <c r="F116" s="73"/>
      <c r="G116" s="64"/>
      <c r="H116" s="66"/>
      <c r="I116" s="64"/>
      <c r="J116" s="80"/>
      <c r="K116" s="81"/>
      <c r="L116" s="82"/>
      <c r="M116" s="76"/>
    </row>
    <row r="117" ht="30" customHeight="1" outlineLevel="1" spans="1:13">
      <c r="A117" s="61">
        <f t="shared" si="5"/>
        <v>41</v>
      </c>
      <c r="B117" s="65" t="s">
        <v>81</v>
      </c>
      <c r="C117" s="63" t="s">
        <v>82</v>
      </c>
      <c r="D117" s="63"/>
      <c r="E117" s="63"/>
      <c r="F117" s="73"/>
      <c r="G117" s="64"/>
      <c r="H117" s="66"/>
      <c r="I117" s="64"/>
      <c r="J117" s="80" t="s">
        <v>84</v>
      </c>
      <c r="K117" s="81" t="s">
        <v>85</v>
      </c>
      <c r="L117" s="82"/>
      <c r="M117" s="76"/>
    </row>
    <row r="118" ht="30" customHeight="1" outlineLevel="1" spans="1:13">
      <c r="A118" s="61">
        <f t="shared" si="5"/>
        <v>42</v>
      </c>
      <c r="B118" s="65" t="s">
        <v>86</v>
      </c>
      <c r="C118" s="63" t="str">
        <f>VLOOKUP(B118,'报价表 最新'!A:B,2,0)</f>
        <v>套</v>
      </c>
      <c r="E118" s="63"/>
      <c r="F118" s="73"/>
      <c r="G118" s="64"/>
      <c r="H118" s="66"/>
      <c r="I118" s="64"/>
      <c r="J118" s="80" t="str">
        <f>VLOOKUP(B118,'报价表 最新'!A:F,4,0)</f>
        <v>按套数计算</v>
      </c>
      <c r="K118" s="81" t="str">
        <f>VLOOKUP(B118,'报价表 最新'!A:F,5,0)</f>
        <v>成品安装</v>
      </c>
      <c r="L118" s="82"/>
      <c r="M118" s="76"/>
    </row>
    <row r="119" ht="30" customHeight="1" outlineLevel="1" spans="1:13">
      <c r="A119" s="61">
        <f t="shared" si="5"/>
        <v>43</v>
      </c>
      <c r="B119" s="65" t="s">
        <v>88</v>
      </c>
      <c r="C119" s="63" t="s">
        <v>82</v>
      </c>
      <c r="D119" s="63"/>
      <c r="E119" s="63"/>
      <c r="F119" s="73"/>
      <c r="G119" s="64"/>
      <c r="H119" s="66"/>
      <c r="I119" s="64"/>
      <c r="J119" s="80" t="s">
        <v>84</v>
      </c>
      <c r="K119" s="81" t="s">
        <v>85</v>
      </c>
      <c r="L119" s="82"/>
      <c r="M119" s="76"/>
    </row>
    <row r="120" ht="30" customHeight="1" outlineLevel="1" spans="1:13">
      <c r="A120" s="61">
        <f t="shared" si="5"/>
        <v>44</v>
      </c>
      <c r="B120" s="65" t="s">
        <v>89</v>
      </c>
      <c r="C120" s="63" t="s">
        <v>82</v>
      </c>
      <c r="D120" s="63"/>
      <c r="E120" s="63"/>
      <c r="F120" s="73"/>
      <c r="G120" s="64"/>
      <c r="H120" s="66"/>
      <c r="I120" s="64"/>
      <c r="J120" s="80" t="s">
        <v>84</v>
      </c>
      <c r="K120" s="81" t="s">
        <v>85</v>
      </c>
      <c r="L120" s="82"/>
      <c r="M120" s="76"/>
    </row>
    <row r="121" ht="30" customHeight="1" outlineLevel="1" spans="1:13">
      <c r="A121" s="61">
        <f t="shared" si="5"/>
        <v>45</v>
      </c>
      <c r="B121" s="65" t="s">
        <v>90</v>
      </c>
      <c r="C121" s="63" t="s">
        <v>82</v>
      </c>
      <c r="D121" s="63"/>
      <c r="E121" s="63"/>
      <c r="F121" s="73"/>
      <c r="G121" s="64"/>
      <c r="H121" s="66"/>
      <c r="I121" s="64"/>
      <c r="J121" s="80" t="s">
        <v>84</v>
      </c>
      <c r="K121" s="81" t="s">
        <v>85</v>
      </c>
      <c r="L121" s="82"/>
      <c r="M121" s="76"/>
    </row>
    <row r="122" ht="30" customHeight="1" outlineLevel="1" spans="1:13">
      <c r="A122" s="61">
        <f t="shared" si="5"/>
        <v>46</v>
      </c>
      <c r="B122" s="65" t="s">
        <v>91</v>
      </c>
      <c r="C122" s="63" t="s">
        <v>92</v>
      </c>
      <c r="D122" s="63"/>
      <c r="E122" s="63"/>
      <c r="F122" s="73"/>
      <c r="G122" s="64"/>
      <c r="I122" s="64"/>
      <c r="J122" s="80"/>
      <c r="K122" s="81"/>
      <c r="L122" s="82"/>
      <c r="M122" s="76"/>
    </row>
    <row r="123" ht="30" customHeight="1" outlineLevel="1" spans="1:13">
      <c r="A123" s="63">
        <f t="shared" si="5"/>
        <v>47</v>
      </c>
      <c r="B123" s="62" t="s">
        <v>93</v>
      </c>
      <c r="C123" s="63" t="s">
        <v>92</v>
      </c>
      <c r="D123" s="71"/>
      <c r="E123" s="63"/>
      <c r="F123" s="72"/>
      <c r="G123" s="64"/>
      <c r="H123" s="66"/>
      <c r="I123" s="64"/>
      <c r="J123" s="80" t="s">
        <v>84</v>
      </c>
      <c r="K123" s="81" t="s">
        <v>85</v>
      </c>
      <c r="L123" s="82"/>
      <c r="M123" s="76"/>
    </row>
    <row r="124" ht="30" customHeight="1" outlineLevel="1" spans="1:13">
      <c r="A124" s="61">
        <f t="shared" si="5"/>
        <v>48</v>
      </c>
      <c r="B124" s="70" t="s">
        <v>57</v>
      </c>
      <c r="C124" s="63" t="s">
        <v>42</v>
      </c>
      <c r="D124" s="63"/>
      <c r="E124" s="68"/>
      <c r="F124" s="69"/>
      <c r="G124" s="64"/>
      <c r="H124" s="66"/>
      <c r="I124" s="64"/>
      <c r="J124" s="80" t="s">
        <v>43</v>
      </c>
      <c r="K124" s="81"/>
      <c r="L124" s="82"/>
      <c r="M124" s="76"/>
    </row>
    <row r="125" ht="30" customHeight="1" outlineLevel="1" spans="1:13">
      <c r="A125" s="61">
        <f t="shared" si="5"/>
        <v>49</v>
      </c>
      <c r="B125" s="65" t="s">
        <v>54</v>
      </c>
      <c r="C125" s="63" t="str">
        <f>VLOOKUP(B125,'报价表 最新'!A:B,2,0)</f>
        <v>套</v>
      </c>
      <c r="D125" s="63"/>
      <c r="E125" s="63"/>
      <c r="F125" s="73"/>
      <c r="G125" s="64"/>
      <c r="H125" s="66"/>
      <c r="I125" s="64"/>
      <c r="J125" s="80" t="str">
        <f>VLOOKUP(B125,'报价表 最新'!A:F,4,0)</f>
        <v>按套数计算</v>
      </c>
      <c r="K125" s="81" t="str">
        <f>VLOOKUP(B125,'报价表 最新'!A:F,5,0)</f>
        <v>成品安装(含门套、门、五金)</v>
      </c>
      <c r="L125" s="82"/>
      <c r="M125" s="76"/>
    </row>
    <row r="126" ht="30" customHeight="1" spans="1:13">
      <c r="A126" s="57" t="s">
        <v>95</v>
      </c>
      <c r="B126" s="58"/>
      <c r="C126" s="59"/>
      <c r="D126" s="59"/>
      <c r="E126" s="59"/>
      <c r="F126" s="59"/>
      <c r="G126" s="60"/>
      <c r="H126" s="60"/>
      <c r="I126" s="60"/>
      <c r="J126" s="83"/>
      <c r="K126" s="84"/>
      <c r="L126" s="85"/>
      <c r="M126" s="76"/>
    </row>
    <row r="127" ht="30" customHeight="1" outlineLevel="1" spans="1:13">
      <c r="A127" s="61">
        <f>+ROW()-ROW(A126)</f>
        <v>1</v>
      </c>
      <c r="B127" s="65" t="s">
        <v>37</v>
      </c>
      <c r="C127" s="63" t="str">
        <f>VLOOKUP(B127,'报价表 最新'!A:B,2,0)</f>
        <v>立方</v>
      </c>
      <c r="D127" s="63"/>
      <c r="E127" s="63"/>
      <c r="F127" s="63"/>
      <c r="G127" s="64"/>
      <c r="H127" s="66"/>
      <c r="I127" s="64"/>
      <c r="J127" s="80" t="str">
        <f>VLOOKUP(B127,'报价表 最新'!A:F,4,0)</f>
        <v>按回填方量计算</v>
      </c>
      <c r="K127" s="81" t="str">
        <f>VLOOKUP(B127,'报价表 最新'!A:F,5,0)</f>
        <v>陶粒回填找平</v>
      </c>
      <c r="L127" s="82"/>
      <c r="M127" s="76"/>
    </row>
    <row r="128" ht="30" customHeight="1" outlineLevel="1" spans="1:13">
      <c r="A128" s="61">
        <f>+ROW()-ROW(A126)</f>
        <v>2</v>
      </c>
      <c r="B128" s="70" t="s">
        <v>58</v>
      </c>
      <c r="C128" s="63" t="str">
        <f>VLOOKUP(B128,'报价表 最新'!A:B,2,0)</f>
        <v>米</v>
      </c>
      <c r="D128" s="63"/>
      <c r="E128" s="63"/>
      <c r="F128" s="69"/>
      <c r="G128" s="64"/>
      <c r="H128" s="66"/>
      <c r="I128" s="64"/>
      <c r="J128" s="80" t="str">
        <f>VLOOKUP(B128,'报价表 最新'!A:F,4,0)</f>
        <v>按延长米计算，不足一米按一米计算</v>
      </c>
      <c r="K128" s="81" t="str">
        <f>VLOOKUP(B128,'报价表 最新'!A:F,5,0)</f>
        <v>成品安装</v>
      </c>
      <c r="L128" s="82"/>
      <c r="M128" s="76"/>
    </row>
    <row r="129" ht="30" customHeight="1" outlineLevel="1" spans="1:13">
      <c r="A129" s="61">
        <f>+ROW()-ROW(A126)</f>
        <v>3</v>
      </c>
      <c r="B129" s="62" t="s">
        <v>70</v>
      </c>
      <c r="C129" s="63" t="str">
        <f>VLOOKUP(B129,'报价表 最新'!A:B,2,0)</f>
        <v>平米</v>
      </c>
      <c r="D129" s="63"/>
      <c r="E129" s="63"/>
      <c r="F129" s="63"/>
      <c r="G129" s="64"/>
      <c r="H129" s="64"/>
      <c r="I129" s="64"/>
      <c r="J129" s="80" t="str">
        <f>VLOOKUP(B129,'报价表 最新'!A:F,4,0)</f>
        <v>按施工面积计算</v>
      </c>
      <c r="K129" s="81" t="str">
        <f>VLOOKUP(B129,'报价表 最新'!A:F,5,0)</f>
        <v>1.卫生间：沉箱地面清理，四周做R角处理，做柔性防水，防水超出沉箱上返300mm高，地面回填找平后做柔性防水+丙纶防水，墙面通用防水
2.厨房、阳台：地面清理后做柔性防水，墙面通用防水</v>
      </c>
      <c r="L129" s="82"/>
      <c r="M129" s="76"/>
    </row>
    <row r="130" ht="30" customHeight="1" outlineLevel="1" spans="1:13">
      <c r="A130" s="61">
        <f>+ROW()-ROW(A126)</f>
        <v>4</v>
      </c>
      <c r="B130" s="62" t="s">
        <v>71</v>
      </c>
      <c r="C130" s="63" t="str">
        <f>VLOOKUP(B130,'报价表 最新'!A:B,2,0)</f>
        <v>平米</v>
      </c>
      <c r="D130" s="63"/>
      <c r="E130" s="63"/>
      <c r="F130" s="63"/>
      <c r="G130" s="64"/>
      <c r="H130" s="64"/>
      <c r="I130" s="64"/>
      <c r="J130" s="80" t="str">
        <f>VLOOKUP(B130,'报价表 最新'!A:F,4,0)</f>
        <v>按施工面积计算</v>
      </c>
      <c r="K130" s="81" t="str">
        <f>VLOOKUP(B130,'报价表 最新'!A:F,5,0)</f>
        <v>水泥河沙保护层施工</v>
      </c>
      <c r="L130" s="82"/>
      <c r="M130" s="76"/>
    </row>
    <row r="131" ht="30" customHeight="1" outlineLevel="1" spans="1:13">
      <c r="A131" s="61">
        <f>+ROW()-ROW(A126)</f>
        <v>5</v>
      </c>
      <c r="B131" s="70" t="s">
        <v>72</v>
      </c>
      <c r="C131" s="63" t="str">
        <f>VLOOKUP(B131,'报价表 最新'!A:B,2,0)</f>
        <v>平米</v>
      </c>
      <c r="D131" s="63"/>
      <c r="E131" s="68">
        <v>0.07</v>
      </c>
      <c r="F131" s="73"/>
      <c r="G131" s="64"/>
      <c r="H131" s="66"/>
      <c r="I131" s="64"/>
      <c r="J131" s="80" t="str">
        <f>VLOOKUP(B131,'报价表 最新'!A:F,4,0)</f>
        <v>按施工面积计算</v>
      </c>
      <c r="K131" s="81" t="str">
        <f>VLOOKUP(B131,'报价表 最新'!A:F,5,0)</f>
        <v>水泥砂浆贴砖，含墙砖背胶处理、瓷砖加工、缝隙清理、瓷砖面清理、勾缝、阳角保护等</v>
      </c>
      <c r="L131" s="82"/>
      <c r="M131" s="76"/>
    </row>
    <row r="132" ht="30" customHeight="1" outlineLevel="1" spans="1:13">
      <c r="A132" s="61">
        <f>+ROW()-ROW(A126)</f>
        <v>6</v>
      </c>
      <c r="B132" s="70" t="s">
        <v>73</v>
      </c>
      <c r="C132" s="63" t="str">
        <f>VLOOKUP(B132,'报价表 最新'!A:B,2,0)</f>
        <v>平米</v>
      </c>
      <c r="D132" s="63"/>
      <c r="E132" s="68"/>
      <c r="F132" s="69"/>
      <c r="G132" s="64"/>
      <c r="H132" s="66"/>
      <c r="I132" s="64"/>
      <c r="J132" s="80" t="str">
        <f>VLOOKUP(B132,'报价表 最新'!A:F,4,0)</f>
        <v>按施工面积计算</v>
      </c>
      <c r="K132" s="81" t="str">
        <f>VLOOKUP(B132,'报价表 最新'!A:F,5,0)</f>
        <v>包含清理缝隙、美缝剂、人工施工等</v>
      </c>
      <c r="L132" s="82"/>
      <c r="M132" s="76"/>
    </row>
    <row r="133" ht="30" customHeight="1" outlineLevel="1" spans="1:13">
      <c r="A133" s="61">
        <f>+ROW()-ROW(A126)</f>
        <v>7</v>
      </c>
      <c r="B133" s="70" t="s">
        <v>74</v>
      </c>
      <c r="C133" s="63" t="str">
        <f>VLOOKUP(B133,'报价表 最新'!A:B,2,0)</f>
        <v>平米</v>
      </c>
      <c r="D133" s="63"/>
      <c r="E133" s="68">
        <v>0.07</v>
      </c>
      <c r="F133" s="73"/>
      <c r="G133" s="64"/>
      <c r="H133" s="66"/>
      <c r="I133" s="64"/>
      <c r="J133" s="80" t="str">
        <f>VLOOKUP(B133,'报价表 最新'!A:F,4,0)</f>
        <v>按施工面积计算</v>
      </c>
      <c r="K133" s="81" t="str">
        <f>VLOOKUP(B133,'报价表 最新'!A:F,5,0)</f>
        <v>水泥砂浆贴砖，含墙砖背胶处理、瓷砖加工、缝隙清理、瓷砖面清理、勾缝、阳角保护等</v>
      </c>
      <c r="L133" s="82"/>
      <c r="M133" s="76"/>
    </row>
    <row r="134" ht="30" customHeight="1" outlineLevel="1" spans="1:13">
      <c r="A134" s="61">
        <f>+ROW()-ROW(A126)</f>
        <v>8</v>
      </c>
      <c r="B134" s="70" t="s">
        <v>73</v>
      </c>
      <c r="C134" s="63" t="str">
        <f>VLOOKUP(B134,'报价表 最新'!A:B,2,0)</f>
        <v>平米</v>
      </c>
      <c r="D134" s="63"/>
      <c r="E134" s="68"/>
      <c r="F134" s="69"/>
      <c r="G134" s="64"/>
      <c r="H134" s="66"/>
      <c r="I134" s="64"/>
      <c r="J134" s="80" t="str">
        <f>VLOOKUP(B134,'报价表 最新'!A:F,4,0)</f>
        <v>按施工面积计算</v>
      </c>
      <c r="K134" s="81" t="str">
        <f>VLOOKUP(B134,'报价表 最新'!A:F,5,0)</f>
        <v>包含清理缝隙、美缝剂、人工施工等</v>
      </c>
      <c r="L134" s="82"/>
      <c r="M134" s="76"/>
    </row>
    <row r="135" ht="30" customHeight="1" outlineLevel="1" spans="1:13">
      <c r="A135" s="61">
        <f>+ROW()-ROW(A126)</f>
        <v>9</v>
      </c>
      <c r="B135" s="65" t="s">
        <v>75</v>
      </c>
      <c r="C135" s="63" t="str">
        <f>VLOOKUP(B135,'报价表 最新'!A:B,2,0)</f>
        <v>平米</v>
      </c>
      <c r="D135" s="63"/>
      <c r="E135" s="63"/>
      <c r="F135" s="63"/>
      <c r="G135" s="64"/>
      <c r="H135" s="66"/>
      <c r="I135" s="64"/>
      <c r="J135" s="80" t="str">
        <f>VLOOKUP(B135,'报价表 最新'!A:F,4,0)</f>
        <v>按展开面积计算</v>
      </c>
      <c r="K135" s="81" t="str">
        <f>VLOOKUP(B135,'报价表 最新'!A:F,5,0)</f>
        <v>包含打眼、吊筋、主副龙骨、单层石膏板安装、转角加固等</v>
      </c>
      <c r="L135" s="82"/>
      <c r="M135" s="76"/>
    </row>
    <row r="136" ht="30" customHeight="1" outlineLevel="1" spans="1:13">
      <c r="A136" s="61">
        <f>+ROW()-ROW(A126)</f>
        <v>10</v>
      </c>
      <c r="B136" s="62" t="s">
        <v>51</v>
      </c>
      <c r="C136" s="63" t="str">
        <f>VLOOKUP(B136,'报价表 最新'!A:B,2,0)</f>
        <v>米</v>
      </c>
      <c r="D136" s="63"/>
      <c r="E136" s="63"/>
      <c r="F136" s="63"/>
      <c r="G136" s="64"/>
      <c r="H136" s="64"/>
      <c r="I136" s="64"/>
      <c r="J136" s="80" t="str">
        <f>VLOOKUP(B136,'报价表 最新'!A:F,4,0)</f>
        <v>按米数计算，单个设备孔最低收费1米</v>
      </c>
      <c r="K136" s="81" t="str">
        <f>VLOOKUP(B136,'报价表 最新'!A:F,5,0)</f>
        <v>包含放线、定位、开孔及加固处理等</v>
      </c>
      <c r="L136" s="82"/>
      <c r="M136" s="76"/>
    </row>
    <row r="137" ht="30" customHeight="1" outlineLevel="1" spans="1:13">
      <c r="A137" s="61">
        <f>+ROW()-ROW(A126)</f>
        <v>11</v>
      </c>
      <c r="B137" s="62" t="s">
        <v>76</v>
      </c>
      <c r="C137" s="63" t="str">
        <f>VLOOKUP(B137,'报价表 最新'!A:B,2,0)</f>
        <v>个</v>
      </c>
      <c r="D137" s="63"/>
      <c r="E137" s="63"/>
      <c r="F137" s="63"/>
      <c r="G137" s="64"/>
      <c r="H137" s="64"/>
      <c r="I137" s="64"/>
      <c r="J137" s="80" t="str">
        <f>VLOOKUP(B137,'报价表 最新'!A:F,4,0)</f>
        <v>按个数计算</v>
      </c>
      <c r="K137" s="81" t="str">
        <f>VLOOKUP(B137,'报价表 最新'!A:F,5,0)</f>
        <v>包含放线、定位、开孔及加固处理等</v>
      </c>
      <c r="L137" s="82"/>
      <c r="M137" s="76"/>
    </row>
    <row r="138" ht="30" customHeight="1" outlineLevel="1" spans="1:13">
      <c r="A138" s="61">
        <f>+ROW()-ROW(A126)</f>
        <v>12</v>
      </c>
      <c r="B138" s="70" t="s">
        <v>77</v>
      </c>
      <c r="C138" s="63" t="str">
        <f>VLOOKUP(B138,'报价表 最新'!A:B,2,0)</f>
        <v>平米</v>
      </c>
      <c r="D138" s="63"/>
      <c r="E138" s="63"/>
      <c r="F138" s="63"/>
      <c r="G138" s="64"/>
      <c r="H138" s="66"/>
      <c r="I138" s="64"/>
      <c r="J138" s="80" t="str">
        <f>VLOOKUP(B138,'报价表 最新'!A:F,4,0)</f>
        <v>按施工面积计算，门窗面积按50%计算</v>
      </c>
      <c r="K138" s="81" t="str">
        <f>VLOOKUP(B138,'报价表 最新'!A:F,5,0)</f>
        <v>刷界面剂、挂网、补钉眼、铲胶、贴纸胶带、石膏找平、阴阳角处理、两遍腻子施工、打磨和一遍底漆施工等</v>
      </c>
      <c r="L138" s="82"/>
      <c r="M138" s="76"/>
    </row>
    <row r="139" ht="52.95" customHeight="1" outlineLevel="1" spans="1:13">
      <c r="A139" s="61">
        <f>+ROW()-ROW(A126)</f>
        <v>13</v>
      </c>
      <c r="B139" s="70" t="s">
        <v>45</v>
      </c>
      <c r="C139" s="63" t="str">
        <f>VLOOKUP(B139,'报价表 最新'!A:B,2,0)</f>
        <v>平米</v>
      </c>
      <c r="D139" s="71"/>
      <c r="E139" s="63"/>
      <c r="F139" s="72"/>
      <c r="G139" s="64"/>
      <c r="H139" s="66"/>
      <c r="I139" s="64"/>
      <c r="J139" s="80" t="str">
        <f>VLOOKUP(B139,'报价表 最新'!A:F,4,0)</f>
        <v>按施工面积计算
分色费另计</v>
      </c>
      <c r="K139" s="81" t="str">
        <f>VLOOKUP(B139,'报价表 最新'!A:F,5,0)</f>
        <v>面漆喷涂施工</v>
      </c>
      <c r="L139" s="82"/>
      <c r="M139" s="76"/>
    </row>
    <row r="140" ht="30" customHeight="1" outlineLevel="1" spans="1:13">
      <c r="A140" s="61">
        <f>+ROW()-ROW(A126)</f>
        <v>14</v>
      </c>
      <c r="B140" s="65" t="s">
        <v>78</v>
      </c>
      <c r="C140" s="63" t="s">
        <v>22</v>
      </c>
      <c r="D140" s="63"/>
      <c r="E140" s="63"/>
      <c r="F140" s="73"/>
      <c r="G140" s="64"/>
      <c r="H140" s="66"/>
      <c r="I140" s="64"/>
      <c r="J140" s="80" t="s">
        <v>62</v>
      </c>
      <c r="K140" s="81"/>
      <c r="L140" s="82"/>
      <c r="M140" s="76"/>
    </row>
    <row r="141" ht="30" customHeight="1" outlineLevel="1" spans="1:13">
      <c r="A141" s="61">
        <f>+ROW()-ROW(A126)</f>
        <v>15</v>
      </c>
      <c r="B141" s="65" t="s">
        <v>79</v>
      </c>
      <c r="C141" s="63" t="s">
        <v>80</v>
      </c>
      <c r="D141" s="63"/>
      <c r="E141" s="63"/>
      <c r="F141" s="73"/>
      <c r="G141" s="64"/>
      <c r="H141" s="66"/>
      <c r="I141" s="64"/>
      <c r="J141" s="80"/>
      <c r="K141" s="81"/>
      <c r="L141" s="82"/>
      <c r="M141" s="76"/>
    </row>
    <row r="142" ht="30" customHeight="1" outlineLevel="1" spans="1:13">
      <c r="A142" s="61">
        <f>+ROW()-ROW(A126)</f>
        <v>16</v>
      </c>
      <c r="B142" s="65" t="s">
        <v>81</v>
      </c>
      <c r="C142" s="63" t="s">
        <v>82</v>
      </c>
      <c r="D142" s="63"/>
      <c r="E142" s="63"/>
      <c r="F142" s="73"/>
      <c r="G142" s="64"/>
      <c r="H142" s="66"/>
      <c r="I142" s="64"/>
      <c r="J142" s="80" t="s">
        <v>84</v>
      </c>
      <c r="K142" s="81" t="s">
        <v>85</v>
      </c>
      <c r="L142" s="82"/>
      <c r="M142" s="76"/>
    </row>
    <row r="143" ht="30" customHeight="1" outlineLevel="1" spans="1:13">
      <c r="A143" s="61">
        <f>+ROW()-ROW(A126)</f>
        <v>17</v>
      </c>
      <c r="B143" s="65" t="s">
        <v>86</v>
      </c>
      <c r="C143" s="63" t="str">
        <f>VLOOKUP(B143,'报价表 最新'!A:B,2,0)</f>
        <v>套</v>
      </c>
      <c r="E143" s="63"/>
      <c r="F143" s="73"/>
      <c r="G143" s="64"/>
      <c r="H143" s="66"/>
      <c r="I143" s="64"/>
      <c r="J143" s="80" t="str">
        <f>VLOOKUP(B143,'报价表 最新'!A:F,4,0)</f>
        <v>按套数计算</v>
      </c>
      <c r="K143" s="81" t="str">
        <f>VLOOKUP(B143,'报价表 最新'!A:F,5,0)</f>
        <v>成品安装</v>
      </c>
      <c r="L143" s="82"/>
      <c r="M143" s="76"/>
    </row>
    <row r="144" ht="30" customHeight="1" outlineLevel="1" spans="1:13">
      <c r="A144" s="61">
        <f>+ROW()-ROW(A126)</f>
        <v>18</v>
      </c>
      <c r="B144" s="65" t="s">
        <v>88</v>
      </c>
      <c r="C144" s="63" t="s">
        <v>82</v>
      </c>
      <c r="D144" s="63"/>
      <c r="E144" s="63"/>
      <c r="F144" s="73"/>
      <c r="G144" s="64"/>
      <c r="H144" s="66"/>
      <c r="I144" s="64"/>
      <c r="J144" s="80" t="s">
        <v>84</v>
      </c>
      <c r="K144" s="81" t="s">
        <v>85</v>
      </c>
      <c r="L144" s="82"/>
      <c r="M144" s="76"/>
    </row>
    <row r="145" ht="30" customHeight="1" outlineLevel="1" spans="1:13">
      <c r="A145" s="61">
        <f>+ROW()-ROW(A126)</f>
        <v>19</v>
      </c>
      <c r="B145" s="65" t="s">
        <v>89</v>
      </c>
      <c r="C145" s="63" t="s">
        <v>82</v>
      </c>
      <c r="D145" s="63"/>
      <c r="E145" s="63"/>
      <c r="F145" s="73"/>
      <c r="G145" s="64"/>
      <c r="H145" s="66"/>
      <c r="I145" s="64"/>
      <c r="J145" s="80" t="s">
        <v>84</v>
      </c>
      <c r="K145" s="81" t="s">
        <v>85</v>
      </c>
      <c r="L145" s="82"/>
      <c r="M145" s="76"/>
    </row>
    <row r="146" ht="30" customHeight="1" outlineLevel="1" spans="1:13">
      <c r="A146" s="61">
        <f>+ROW()-ROW(A126)</f>
        <v>20</v>
      </c>
      <c r="B146" s="65" t="s">
        <v>90</v>
      </c>
      <c r="C146" s="63" t="s">
        <v>82</v>
      </c>
      <c r="D146" s="63"/>
      <c r="E146" s="63"/>
      <c r="F146" s="73"/>
      <c r="G146" s="64"/>
      <c r="H146" s="66"/>
      <c r="I146" s="64"/>
      <c r="J146" s="80" t="s">
        <v>84</v>
      </c>
      <c r="K146" s="81" t="s">
        <v>85</v>
      </c>
      <c r="L146" s="82"/>
      <c r="M146" s="76"/>
    </row>
    <row r="147" ht="30" customHeight="1" outlineLevel="1" spans="1:13">
      <c r="A147" s="61">
        <f>+ROW()-ROW(A126)</f>
        <v>21</v>
      </c>
      <c r="B147" s="65" t="s">
        <v>91</v>
      </c>
      <c r="C147" s="63" t="s">
        <v>92</v>
      </c>
      <c r="D147" s="63"/>
      <c r="E147" s="63"/>
      <c r="F147" s="73"/>
      <c r="G147" s="64"/>
      <c r="I147" s="64"/>
      <c r="J147" s="80"/>
      <c r="K147" s="81"/>
      <c r="L147" s="82"/>
      <c r="M147" s="76"/>
    </row>
    <row r="148" ht="30" customHeight="1" outlineLevel="1" spans="1:13">
      <c r="A148" s="63">
        <f>+ROW()-ROW(A126)</f>
        <v>22</v>
      </c>
      <c r="B148" s="62" t="s">
        <v>93</v>
      </c>
      <c r="C148" s="63" t="s">
        <v>92</v>
      </c>
      <c r="D148" s="71"/>
      <c r="E148" s="63"/>
      <c r="F148" s="72"/>
      <c r="G148" s="64"/>
      <c r="H148" s="66"/>
      <c r="I148" s="64"/>
      <c r="J148" s="80" t="s">
        <v>84</v>
      </c>
      <c r="K148" s="81" t="s">
        <v>85</v>
      </c>
      <c r="L148" s="82"/>
      <c r="M148" s="76"/>
    </row>
    <row r="149" ht="30" customHeight="1" outlineLevel="1" spans="1:13">
      <c r="A149" s="61">
        <f>+ROW()-ROW(A126)</f>
        <v>23</v>
      </c>
      <c r="B149" s="70" t="s">
        <v>57</v>
      </c>
      <c r="C149" s="63" t="s">
        <v>42</v>
      </c>
      <c r="D149" s="63"/>
      <c r="E149" s="68"/>
      <c r="F149" s="69"/>
      <c r="G149" s="64"/>
      <c r="H149" s="66"/>
      <c r="I149" s="64"/>
      <c r="J149" s="80" t="s">
        <v>43</v>
      </c>
      <c r="K149" s="81"/>
      <c r="L149" s="82"/>
      <c r="M149" s="76"/>
    </row>
    <row r="150" ht="30" customHeight="1" outlineLevel="1" spans="1:13">
      <c r="A150" s="61">
        <f>+ROW()-ROW(A126)</f>
        <v>24</v>
      </c>
      <c r="B150" s="65" t="s">
        <v>54</v>
      </c>
      <c r="C150" s="63" t="str">
        <f>VLOOKUP(B150,'报价表 最新'!A:B,2,0)</f>
        <v>套</v>
      </c>
      <c r="D150" s="63"/>
      <c r="E150" s="63"/>
      <c r="F150" s="73"/>
      <c r="G150" s="64"/>
      <c r="H150" s="66"/>
      <c r="I150" s="64"/>
      <c r="J150" s="80" t="str">
        <f>VLOOKUP(B150,'报价表 最新'!A:F,4,0)</f>
        <v>按套数计算</v>
      </c>
      <c r="K150" s="81" t="str">
        <f>VLOOKUP(B150,'报价表 最新'!A:F,5,0)</f>
        <v>成品安装(含门套、门、五金)</v>
      </c>
      <c r="L150" s="82"/>
      <c r="M150" s="76"/>
    </row>
    <row r="151" ht="27" customHeight="1" spans="1:13">
      <c r="A151" s="57" t="s">
        <v>96</v>
      </c>
      <c r="B151" s="58"/>
      <c r="C151" s="59"/>
      <c r="D151" s="59"/>
      <c r="E151" s="59"/>
      <c r="F151" s="59"/>
      <c r="G151" s="60"/>
      <c r="H151" s="60"/>
      <c r="I151" s="60"/>
      <c r="J151" s="83"/>
      <c r="K151" s="84"/>
      <c r="L151" s="85"/>
      <c r="M151" s="76"/>
    </row>
    <row r="152" ht="72" customHeight="1" outlineLevel="1" spans="1:13">
      <c r="A152" s="61">
        <f t="shared" ref="A152:A155" si="6">+ROW()-ROW($A$151)</f>
        <v>1</v>
      </c>
      <c r="B152" s="65" t="s">
        <v>97</v>
      </c>
      <c r="C152" s="63" t="str">
        <f>VLOOKUP(B152,'报价表 最新'!A:B,2,0)</f>
        <v>平米</v>
      </c>
      <c r="D152" s="63"/>
      <c r="E152" s="63"/>
      <c r="F152" s="63"/>
      <c r="G152" s="64"/>
      <c r="H152" s="66"/>
      <c r="I152" s="64"/>
      <c r="J152" s="80" t="str">
        <f>VLOOKUP(B152,'报价表 最新'!A:F,4,0)</f>
        <v>按合同面积计算</v>
      </c>
      <c r="K152" s="81" t="str">
        <f>VLOOKUP(B152,'报价表 最新'!A:F,5,0)</f>
        <v>1.成品保护包含入场检查，电梯厅、走廊、过道、门窗、气表、水表、烟感、可视电话等的保护，管道包隔音棉处理，安全防护
2.铲墙皮（包含墙面和顶面）
3.墙地顶面涂刷界面剂
4.临水临电及精放线等施工准备工作</v>
      </c>
      <c r="L152" s="82"/>
      <c r="M152" s="76"/>
    </row>
    <row r="153" ht="30" customHeight="1" outlineLevel="1" spans="1:13">
      <c r="A153" s="61">
        <f t="shared" si="6"/>
        <v>2</v>
      </c>
      <c r="B153" s="62" t="s">
        <v>98</v>
      </c>
      <c r="C153" s="63" t="str">
        <f>VLOOKUP(B153,'报价表 最新'!A:B,2,0)</f>
        <v>平米</v>
      </c>
      <c r="D153" s="63"/>
      <c r="E153" s="63"/>
      <c r="F153" s="63"/>
      <c r="G153" s="64"/>
      <c r="H153" s="64"/>
      <c r="I153" s="64"/>
      <c r="J153" s="80" t="str">
        <f>VLOOKUP(B153,'报价表 最新'!A:F,4,0)</f>
        <v>按合同面积计算</v>
      </c>
      <c r="K153" s="81" t="str">
        <f>VLOOKUP(B153,'报价表 最新'!A:F,5,0)</f>
        <v>对施工现场进行初步清洁，确保现场基本洁净，满足成品安装条件</v>
      </c>
      <c r="L153" s="82"/>
      <c r="M153" s="76"/>
    </row>
    <row r="154" ht="30" customHeight="1" outlineLevel="1" spans="1:13">
      <c r="A154" s="61">
        <f t="shared" si="6"/>
        <v>3</v>
      </c>
      <c r="B154" s="62" t="s">
        <v>99</v>
      </c>
      <c r="C154" s="63" t="str">
        <f>VLOOKUP(B154,'报价表 最新'!A:B,2,0)</f>
        <v>平米</v>
      </c>
      <c r="D154" s="63"/>
      <c r="E154" s="63"/>
      <c r="F154" s="63"/>
      <c r="G154" s="64"/>
      <c r="H154" s="64"/>
      <c r="I154" s="64"/>
      <c r="J154" s="80" t="str">
        <f>VLOOKUP(B154,'报价表 最新'!A:F,4,0)</f>
        <v>按合同面积计算
无电梯搬运费用另计</v>
      </c>
      <c r="K154" s="81" t="str">
        <f>VLOOKUP(B154,'报价表 最新'!A:F,5,0)</f>
        <v>适用范围：仅限有电梯的项目</v>
      </c>
      <c r="L154" s="82"/>
      <c r="M154" s="76"/>
    </row>
    <row r="155" ht="30" customHeight="1" outlineLevel="1" spans="1:13">
      <c r="A155" s="61">
        <f t="shared" si="6"/>
        <v>4</v>
      </c>
      <c r="B155" s="62" t="s">
        <v>100</v>
      </c>
      <c r="C155" s="63" t="str">
        <f>VLOOKUP(B155,'报价表 最新'!A:B,2,0)</f>
        <v>平米</v>
      </c>
      <c r="D155" s="63"/>
      <c r="E155" s="63"/>
      <c r="F155" s="63"/>
      <c r="G155" s="64"/>
      <c r="H155" s="64"/>
      <c r="I155" s="64"/>
      <c r="J155" s="80" t="str">
        <f>VLOOKUP(B155,'报价表 最新'!A:F,4,0)</f>
        <v>按合同面积计算</v>
      </c>
      <c r="K155" s="81" t="str">
        <f>VLOOKUP(B155,'报价表 最新'!A:F,5,0)</f>
        <v>包含室内垃圾清理，清运至物业指定地点，现场5S维护等</v>
      </c>
      <c r="L155" s="82"/>
      <c r="M155" s="76"/>
    </row>
    <row r="156" ht="27" customHeight="1" spans="1:13">
      <c r="A156" s="57" t="s">
        <v>96</v>
      </c>
      <c r="B156" s="58"/>
      <c r="C156" s="59"/>
      <c r="D156" s="59"/>
      <c r="E156" s="59"/>
      <c r="F156" s="59"/>
      <c r="G156" s="60"/>
      <c r="H156" s="60"/>
      <c r="I156" s="60"/>
      <c r="J156" s="83"/>
      <c r="K156" s="84"/>
      <c r="L156" s="85"/>
      <c r="M156" s="76"/>
    </row>
    <row r="157" ht="30" customHeight="1" outlineLevel="1" spans="1:13">
      <c r="A157" s="61">
        <f t="shared" ref="A157:A165" si="7">+ROW()-ROW($A$156)</f>
        <v>1</v>
      </c>
      <c r="B157" s="62" t="s">
        <v>101</v>
      </c>
      <c r="C157" s="63" t="str">
        <f>VLOOKUP(B157,'报价表 最新'!A:B,2,0)</f>
        <v>平米</v>
      </c>
      <c r="D157" s="63"/>
      <c r="E157" s="63"/>
      <c r="F157" s="63"/>
      <c r="G157" s="64"/>
      <c r="H157" s="64"/>
      <c r="I157" s="64"/>
      <c r="J157" s="80" t="str">
        <f>VLOOKUP(B157,'报价表 最新'!A:F,4,0)</f>
        <v>按合同面积计算</v>
      </c>
      <c r="K157" s="81" t="str">
        <f>VLOOKUP(B157,'报价表 最新'!A:F,5,0)</f>
        <v>对现场深度清洁，确保清洁完成后现场清洁干净，无灰尘，无污渍，无水渍，达到交付标准</v>
      </c>
      <c r="L157" s="82"/>
      <c r="M157" s="76"/>
    </row>
    <row r="158" ht="33" outlineLevel="1" spans="1:13">
      <c r="A158" s="61">
        <f t="shared" si="7"/>
        <v>2</v>
      </c>
      <c r="B158" s="62" t="s">
        <v>102</v>
      </c>
      <c r="C158" s="63" t="str">
        <f>VLOOKUP(B158,'报价表 最新'!A:B,2,0)</f>
        <v>平米</v>
      </c>
      <c r="D158" s="63"/>
      <c r="E158" s="63"/>
      <c r="F158" s="63"/>
      <c r="G158" s="64"/>
      <c r="H158" s="64"/>
      <c r="I158" s="64"/>
      <c r="J158" s="80" t="str">
        <f>VLOOKUP(B158,'报价表 最新'!A:F,4,0)</f>
        <v>按楼层面积计算</v>
      </c>
      <c r="K158" s="81" t="str">
        <f>VLOOKUP(B158,'报价表 最新'!A:F,5,0)</f>
        <v>仅包含建渣装袋人工搬运至物业指定的小区内建渣池，台阶&gt;3级的需计算费用</v>
      </c>
      <c r="L158" s="82"/>
      <c r="M158" s="76"/>
    </row>
    <row r="159" ht="65" outlineLevel="1" spans="1:13">
      <c r="A159" s="61">
        <f t="shared" si="7"/>
        <v>3</v>
      </c>
      <c r="B159" s="62" t="s">
        <v>103</v>
      </c>
      <c r="C159" s="63" t="str">
        <f>VLOOKUP(B159,'报价表 最新'!A:B,2,0)</f>
        <v>平米</v>
      </c>
      <c r="D159" s="63"/>
      <c r="E159" s="63"/>
      <c r="F159" s="63"/>
      <c r="G159" s="64"/>
      <c r="H159" s="64"/>
      <c r="I159" s="64"/>
      <c r="J159" s="80" t="str">
        <f>VLOOKUP(B159,'报价表 最新'!A:F,4,0)</f>
        <v>按上楼面积计算
指无电梯搬运
（从起步楼层1楼算起，2、3楼21元/平米，4楼及以上每增加一层加5元/平米/层）</v>
      </c>
      <c r="K159" s="81" t="str">
        <f>VLOOKUP(B159,'报价表 最新'!A:F,5,0)</f>
        <v>适用范围：仅限无电梯项目和户内有楼梯需人工二次搬运的项目</v>
      </c>
      <c r="L159" s="82"/>
      <c r="M159" s="76"/>
    </row>
    <row r="160" ht="65" outlineLevel="1" spans="1:13">
      <c r="A160" s="61">
        <f t="shared" si="7"/>
        <v>4</v>
      </c>
      <c r="B160" s="62" t="s">
        <v>104</v>
      </c>
      <c r="C160" s="63" t="str">
        <f>VLOOKUP(B160,'报价表 最新'!A:B,2,0)</f>
        <v>车</v>
      </c>
      <c r="D160" s="63"/>
      <c r="E160" s="63"/>
      <c r="F160" s="63"/>
      <c r="G160" s="64"/>
      <c r="H160" s="64"/>
      <c r="I160" s="64"/>
      <c r="J160" s="80" t="str">
        <f>VLOOKUP(B160,'报价表 最新'!A:F,4,0)</f>
        <v>按车计算
100平米以内4车，每50平米一个阶梯增加1车。
不含打拆阶段建渣，打拆建渣按打拆数量计算。</v>
      </c>
      <c r="K160" s="81" t="str">
        <f>VLOOKUP(B160,'报价表 最新'!A:F,5,0)</f>
        <v>适用范围：仅限小区内无建渣池客户要求我方外运建渣的项目</v>
      </c>
      <c r="L160" s="82"/>
      <c r="M160" s="76"/>
    </row>
    <row r="161" ht="65" outlineLevel="1" spans="1:13">
      <c r="A161" s="61">
        <f t="shared" si="7"/>
        <v>5</v>
      </c>
      <c r="B161" s="62" t="s">
        <v>105</v>
      </c>
      <c r="C161" s="63" t="str">
        <f>VLOOKUP(B161,'报价表 最新'!A:B,2,0)</f>
        <v>车</v>
      </c>
      <c r="D161" s="63"/>
      <c r="E161" s="63"/>
      <c r="F161" s="63"/>
      <c r="G161" s="64"/>
      <c r="H161" s="64"/>
      <c r="I161" s="64"/>
      <c r="J161" s="80" t="str">
        <f>VLOOKUP(B161,'报价表 最新'!A:F,4,0)</f>
        <v>按车计算
100平米以内4车，每50平米一个阶梯增加1车。
不含打拆阶段建渣，打拆建渣按打拆数量计算。</v>
      </c>
      <c r="K161" s="81" t="str">
        <f>VLOOKUP(B161,'报价表 最新'!A:F,5,0)</f>
        <v>适用范围：
1）建渣池不在小区内的；
2）无法直接用小推车需要从地下室转运建渣至地面的；
3）小区内无建渣池需要转运至小区外物业制定地点的。</v>
      </c>
      <c r="L161" s="82"/>
      <c r="M161" s="76"/>
    </row>
    <row r="162" ht="159.6" customHeight="1" outlineLevel="1" spans="1:13">
      <c r="A162" s="61">
        <f t="shared" si="7"/>
        <v>6</v>
      </c>
      <c r="B162" s="62" t="s">
        <v>106</v>
      </c>
      <c r="C162" s="63" t="str">
        <f>VLOOKUP(B162,'报价表 最新'!A:B,2,0)</f>
        <v>项</v>
      </c>
      <c r="D162" s="63"/>
      <c r="E162" s="63"/>
      <c r="F162" s="63"/>
      <c r="G162" s="64"/>
      <c r="H162" s="64"/>
      <c r="I162" s="64"/>
      <c r="J162" s="80" t="str">
        <f>VLOOKUP(B162,'报价表 最新'!A:F,4,0)</f>
        <v>按项计算，包含移动脚手架
不含满堂红脚手架，满屋脚手架费用另计。</v>
      </c>
      <c r="K162" s="81" t="str">
        <f>VLOOKUP(B162,'报价表 最新'!A:F,5,0)</f>
        <v>包含超高区域搭建移动脚手架、超高施工安全措施，及脚手架拆除</v>
      </c>
      <c r="L162" s="82"/>
      <c r="M162" s="76"/>
    </row>
    <row r="163" ht="43.05" customHeight="1" outlineLevel="1" spans="1:13">
      <c r="A163" s="61">
        <f t="shared" si="7"/>
        <v>7</v>
      </c>
      <c r="B163" s="62" t="s">
        <v>107</v>
      </c>
      <c r="C163" s="63" t="str">
        <f>VLOOKUP(B163,'报价表 最新'!A:B,2,0)</f>
        <v>项</v>
      </c>
      <c r="D163" s="63"/>
      <c r="E163" s="63"/>
      <c r="F163" s="63"/>
      <c r="G163" s="64"/>
      <c r="H163" s="64"/>
      <c r="I163" s="64"/>
      <c r="J163" s="80" t="str">
        <f>VLOOKUP(B163,'报价表 最新'!A:F,4,0)</f>
        <v>按超高区域地面面积计算</v>
      </c>
      <c r="K163" s="81" t="str">
        <f>VLOOKUP(B163,'报价表 最新'!A:F,5,0)</f>
        <v>包含安全措施、高空作业人工补贴</v>
      </c>
      <c r="L163" s="82"/>
      <c r="M163" s="76"/>
    </row>
    <row r="164" ht="65" outlineLevel="1" spans="1:13">
      <c r="A164" s="61">
        <f t="shared" si="7"/>
        <v>8</v>
      </c>
      <c r="B164" s="62" t="s">
        <v>108</v>
      </c>
      <c r="C164" s="63" t="str">
        <f>VLOOKUP(B164,'报价表 最新'!A:B,2,0)</f>
        <v>项</v>
      </c>
      <c r="D164" s="63"/>
      <c r="E164" s="68"/>
      <c r="F164" s="63"/>
      <c r="G164" s="64"/>
      <c r="H164" s="64"/>
      <c r="I164" s="64"/>
      <c r="J164" s="80" t="str">
        <f>VLOOKUP(B164,'报价表 最新'!A:F,4,0)</f>
        <v>按项计算
以火车南站为坐标原点
I类区域：
一绕以内(四环)南至二绕以内(五环)区域,不计远程费</v>
      </c>
      <c r="K164" s="81" t="str">
        <f>VLOOKUP(B164,'报价表 最新'!A:F,5,0)</f>
        <v>远程范围：成都市绕城高速(一绕)以外区域，南门延至二绕以外区域</v>
      </c>
      <c r="L164" s="82"/>
      <c r="M164" s="76"/>
    </row>
    <row r="165" ht="30" customHeight="1" outlineLevel="1" spans="1:13">
      <c r="A165" s="61">
        <f t="shared" si="7"/>
        <v>9</v>
      </c>
      <c r="B165" s="62" t="s">
        <v>109</v>
      </c>
      <c r="C165" s="63" t="str">
        <f>VLOOKUP(B165,'报价表 最新'!A:B,2,0)</f>
        <v>平米</v>
      </c>
      <c r="D165" s="63"/>
      <c r="E165" s="63"/>
      <c r="F165" s="63"/>
      <c r="G165" s="64"/>
      <c r="H165" s="64"/>
      <c r="I165" s="64"/>
      <c r="J165" s="80" t="str">
        <f>VLOOKUP(B165,'报价表 最新'!A:F,4,0)</f>
        <v>按施工面积计算，最低收费400元</v>
      </c>
      <c r="K165" s="81" t="str">
        <f>VLOOKUP(B165,'报价表 最新'!A:F,5,0)</f>
        <v>施工区域及施工涉及到的活动区域地面3mm中纤板保护，地板区域的地面需做硬保护</v>
      </c>
      <c r="L165" s="82"/>
      <c r="M165" s="76"/>
    </row>
    <row r="166" s="50" customFormat="1" ht="27" customHeight="1" outlineLevel="1" spans="1:13">
      <c r="A166" s="86"/>
      <c r="B166" s="87"/>
      <c r="C166" s="88"/>
      <c r="D166" s="88"/>
      <c r="E166" s="88"/>
      <c r="F166" s="89"/>
      <c r="G166" s="89"/>
      <c r="H166" s="89"/>
      <c r="I166" s="89"/>
      <c r="J166" s="87"/>
      <c r="K166" s="103"/>
      <c r="L166" s="104"/>
      <c r="M166" s="105"/>
    </row>
    <row r="167" ht="27" customHeight="1" spans="1:13">
      <c r="A167" s="86" t="s">
        <v>110</v>
      </c>
      <c r="B167" s="90">
        <v>0.1</v>
      </c>
      <c r="C167" s="91"/>
      <c r="D167" s="91"/>
      <c r="E167" s="91"/>
      <c r="F167" s="91"/>
      <c r="G167" s="92"/>
      <c r="H167" s="92"/>
      <c r="I167" s="92"/>
      <c r="J167" s="93"/>
      <c r="K167" s="106"/>
      <c r="L167" s="107"/>
      <c r="M167" s="76"/>
    </row>
    <row r="168" ht="27" customHeight="1" spans="1:13">
      <c r="A168" s="86" t="s">
        <v>111</v>
      </c>
      <c r="B168" s="90"/>
      <c r="C168" s="91"/>
      <c r="D168" s="91"/>
      <c r="E168" s="91"/>
      <c r="F168" s="91"/>
      <c r="G168" s="92"/>
      <c r="H168" s="92"/>
      <c r="I168" s="92"/>
      <c r="J168" s="93"/>
      <c r="K168" s="106"/>
      <c r="L168" s="107"/>
      <c r="M168" s="76"/>
    </row>
    <row r="169" ht="27" customHeight="1" spans="1:13">
      <c r="A169" s="86" t="s">
        <v>112</v>
      </c>
      <c r="B169" s="93"/>
      <c r="C169" s="91"/>
      <c r="D169" s="91"/>
      <c r="E169" s="91"/>
      <c r="F169" s="91"/>
      <c r="G169" s="92"/>
      <c r="H169" s="92"/>
      <c r="I169" s="92"/>
      <c r="J169" s="93"/>
      <c r="K169" s="106"/>
      <c r="L169" s="107"/>
      <c r="M169" s="76"/>
    </row>
    <row r="170" ht="27" customHeight="1" spans="1:13">
      <c r="A170" s="94" t="s">
        <v>113</v>
      </c>
      <c r="B170" s="95"/>
      <c r="C170" s="96"/>
      <c r="D170" s="96"/>
      <c r="E170" s="96"/>
      <c r="F170" s="96"/>
      <c r="G170" s="97"/>
      <c r="H170" s="97"/>
      <c r="I170" s="108"/>
      <c r="J170" s="109"/>
      <c r="K170" s="110"/>
      <c r="L170" s="111"/>
      <c r="M170" s="76"/>
    </row>
    <row r="171" ht="21" customHeight="1" spans="1:13">
      <c r="A171" s="98" t="s">
        <v>114</v>
      </c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76"/>
    </row>
    <row r="172" ht="21" customHeight="1" spans="1:13">
      <c r="A172" s="61">
        <v>1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76"/>
    </row>
    <row r="173" ht="34.2" customHeight="1" spans="1:13">
      <c r="A173" s="61">
        <v>2</v>
      </c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76"/>
    </row>
    <row r="174" ht="21" customHeight="1" spans="1:13">
      <c r="A174" s="61">
        <v>3</v>
      </c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76"/>
    </row>
    <row r="175" ht="21" customHeight="1" spans="1:13">
      <c r="A175" s="61">
        <v>4</v>
      </c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76"/>
    </row>
    <row r="176" ht="21.6" customHeight="1" spans="1:13">
      <c r="A176" s="61">
        <v>5</v>
      </c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76"/>
    </row>
    <row r="177" ht="21" customHeight="1" spans="1:13">
      <c r="A177" s="61">
        <v>6</v>
      </c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76"/>
    </row>
    <row r="178" ht="21" customHeight="1" spans="1:13">
      <c r="A178" s="61">
        <v>7</v>
      </c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76"/>
    </row>
    <row r="179" spans="1:12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</row>
  </sheetData>
  <autoFilter ref="A2:L178">
    <extLst/>
  </autoFilter>
  <mergeCells count="163">
    <mergeCell ref="B1:J1"/>
    <mergeCell ref="K2:L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4:L24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2:L152"/>
    <mergeCell ref="K153:L153"/>
    <mergeCell ref="K154:L154"/>
    <mergeCell ref="K155:L155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A171:L171"/>
    <mergeCell ref="B172:L172"/>
    <mergeCell ref="B173:L173"/>
    <mergeCell ref="B174:L174"/>
    <mergeCell ref="B175:L175"/>
    <mergeCell ref="B176:L176"/>
    <mergeCell ref="B177:L177"/>
    <mergeCell ref="B178:L178"/>
  </mergeCells>
  <dataValidations count="11">
    <dataValidation type="list" allowBlank="1" showInputMessage="1" showErrorMessage="1" sqref="G23">
      <formula1>"平层水电半改（PPR)"</formula1>
    </dataValidation>
    <dataValidation type="list" allowBlank="1" showInputMessage="1" showErrorMessage="1" sqref="B24">
      <formula1>"平层水电半改（PPR)仅清水房且有原始点位可用,平层水电全改（PPR）,复式水电全改（PPR）,别墅水电全改（PPR）,平层水电全改（进口PPR）,复式水电全改（进口PPR）,别墅水电全改（进口PPR）,平层水电全改（进口一管到底）,复式水电全改（进口一管到底）,别墅水电全改（进口一管到底）"</formula1>
    </dataValidation>
    <dataValidation type="list" allowBlank="1" showInputMessage="1" showErrorMessage="1" sqref="B26 B61 B77 B102 B127">
      <formula1>"陶粒回填+保护层,陶粒回填+保护层（厚度150mm以内）"</formula1>
    </dataValidation>
    <dataValidation type="list" allowBlank="1" showInputMessage="1" showErrorMessage="1" sqref="B27 B42 B62">
      <formula1>"水泥砂浆精找平,0"</formula1>
    </dataValidation>
    <dataValidation type="list" allowBlank="1" showInputMessage="1" showErrorMessage="1" sqref="B28 B43 B63">
      <formula1>"强化地板,实木地板,人字拼地板,鱼骨拼地板"</formula1>
    </dataValidation>
    <dataValidation type="list" allowBlank="1" showInputMessage="1" showErrorMessage="1" sqref="B31 B48 B67">
      <formula1>"墙面石膏腻子顺平处理,墙面基层冲筋做方正找平"</formula1>
    </dataValidation>
    <dataValidation type="list" allowBlank="1" showInputMessage="1" showErrorMessage="1" sqref="B34 B50 B69">
      <formula1>"轻钢龙骨双层石膏板吊顶（边顶）,轻钢龙骨双层防潮石膏板吊顶（边顶）,轻钢龙骨单层石膏板吊顶（边顶）,轻钢龙骨单层防潮石膏板吊顶（边顶）,轻钢龙骨单层石膏板吊顶（边顶带灯槽）"</formula1>
    </dataValidation>
    <dataValidation allowBlank="1" showInputMessage="1" showErrorMessage="1" sqref="B44 B45 B46 B64 B65 B78 B81 B82 B83 B84 B98 B99 B103 B106 B107 B108 B109 B123 B124 B128 B131 B132 B133 B134 B148 B149 B29:B30"/>
    <dataValidation type="list" allowBlank="1" showInputMessage="1" showErrorMessage="1" sqref="B51">
      <formula1>"轻钢龙骨双层石膏板吊顶（平顶）,轻钢龙骨双层防潮石膏板吊顶（平顶）,轻钢龙骨单层石膏板吊顶（平顶）,轻钢龙骨单层防潮石膏板吊顶（平顶）"</formula1>
    </dataValidation>
    <dataValidation type="list" allowBlank="1" showInputMessage="1" showErrorMessage="1" sqref="B85 B110 B135">
      <formula1>"轻钢龙骨单层防潮石膏板吊顶（平顶）,轻钢龙骨双层防潮石膏板吊顶（平顶）,轻钢龙骨双层石膏板吊顶（平顶）,轻钢龙骨单层石膏板吊顶（平顶）"</formula1>
    </dataValidation>
    <dataValidation type="list" allowBlank="1" showInputMessage="1" showErrorMessage="1" sqref="B152">
      <formula1>"成品保护、铲墙皮、刷墙地固,成品保护、刷墙地固"</formula1>
    </dataValidation>
  </dataValidations>
  <pageMargins left="0.590551181102362" right="0.590551181102362" top="0.590551181102362" bottom="0.590551181102362" header="0.31496062992126" footer="0.118110236220472"/>
  <pageSetup paperSize="9" scale="42" fitToHeight="0" orientation="portrait"/>
  <headerFooter>
    <oddHeader>&amp;R&amp;UXQ-CSquotn.V2.2.220218</oddHeader>
    <oddFooter>&amp;L&amp;"微软雅黑,加粗"设计师签字：
&amp;C&amp;"微软雅黑,加粗"审核人签字：
&amp;"-,常规"
第 &amp;P 页，共 &amp;N 页&amp;R&amp;"微软雅黑,加粗"客户签字:                                  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outlinePr summaryBelow="0"/>
  </sheetPr>
  <dimension ref="A1:H360"/>
  <sheetViews>
    <sheetView zoomScale="70" zoomScaleNormal="70" workbookViewId="0">
      <pane xSplit="1" ySplit="3" topLeftCell="E336" activePane="bottomRight" state="frozen"/>
      <selection/>
      <selection pane="topRight"/>
      <selection pane="bottomLeft"/>
      <selection pane="bottomRight" activeCell="F372" sqref="F372"/>
    </sheetView>
  </sheetViews>
  <sheetFormatPr defaultColWidth="8.89090909090909" defaultRowHeight="14" outlineLevelCol="7"/>
  <cols>
    <col min="1" max="1" width="27.7818181818182" style="7" customWidth="1"/>
    <col min="2" max="2" width="19.3363636363636" style="8" customWidth="1"/>
    <col min="3" max="3" width="23" style="9" customWidth="1"/>
    <col min="4" max="4" width="16.8909090909091" style="9" customWidth="1"/>
    <col min="5" max="5" width="33.5545454545455" style="10" customWidth="1"/>
    <col min="6" max="6" width="52.7818181818182" style="9" customWidth="1"/>
    <col min="7" max="7" width="15" style="11" customWidth="1"/>
    <col min="8" max="16384" width="8.89090909090909" style="9"/>
  </cols>
  <sheetData>
    <row r="1" s="1" customFormat="1" ht="17.5" spans="1:7">
      <c r="A1" s="12"/>
      <c r="B1" s="13"/>
      <c r="E1" s="14"/>
      <c r="G1" s="15"/>
    </row>
    <row r="2" s="2" customFormat="1" ht="15" spans="1:7">
      <c r="A2" s="16" t="s">
        <v>115</v>
      </c>
      <c r="B2" s="16" t="s">
        <v>4</v>
      </c>
      <c r="C2" s="17" t="s">
        <v>116</v>
      </c>
      <c r="D2" s="18"/>
      <c r="E2" s="18"/>
      <c r="F2" s="19"/>
      <c r="G2" s="20" t="s">
        <v>117</v>
      </c>
    </row>
    <row r="3" s="3" customFormat="1" ht="15" spans="1:7">
      <c r="A3" s="21"/>
      <c r="B3" s="21"/>
      <c r="C3" s="22" t="s">
        <v>116</v>
      </c>
      <c r="D3" s="23" t="s">
        <v>11</v>
      </c>
      <c r="E3" s="24" t="s">
        <v>12</v>
      </c>
      <c r="F3" s="25" t="s">
        <v>118</v>
      </c>
      <c r="G3" s="20"/>
    </row>
    <row r="4" s="4" customFormat="1" ht="96" hidden="1" spans="1:7">
      <c r="A4" s="26" t="s">
        <v>119</v>
      </c>
      <c r="B4" s="27" t="s">
        <v>22</v>
      </c>
      <c r="C4" s="28">
        <v>15</v>
      </c>
      <c r="D4" s="29" t="s">
        <v>120</v>
      </c>
      <c r="E4" s="29" t="s">
        <v>121</v>
      </c>
      <c r="F4" s="30" t="s">
        <v>122</v>
      </c>
      <c r="G4" s="31" t="e">
        <f>#REF!</f>
        <v>#REF!</v>
      </c>
    </row>
    <row r="5" s="4" customFormat="1" ht="24" hidden="1" spans="1:7">
      <c r="A5" s="26" t="s">
        <v>123</v>
      </c>
      <c r="B5" s="27" t="s">
        <v>42</v>
      </c>
      <c r="C5" s="28">
        <v>50</v>
      </c>
      <c r="D5" s="29" t="s">
        <v>43</v>
      </c>
      <c r="E5" s="29" t="s">
        <v>124</v>
      </c>
      <c r="F5" s="30" t="s">
        <v>125</v>
      </c>
      <c r="G5" s="31" t="e">
        <f>#REF!</f>
        <v>#REF!</v>
      </c>
    </row>
    <row r="6" s="4" customFormat="1" ht="48" hidden="1" spans="1:7">
      <c r="A6" s="26" t="s">
        <v>126</v>
      </c>
      <c r="B6" s="27" t="s">
        <v>22</v>
      </c>
      <c r="C6" s="28">
        <v>5</v>
      </c>
      <c r="D6" s="29" t="s">
        <v>120</v>
      </c>
      <c r="E6" s="29" t="s">
        <v>127</v>
      </c>
      <c r="F6" s="30" t="s">
        <v>128</v>
      </c>
      <c r="G6" s="31" t="e">
        <f>#REF!</f>
        <v>#REF!</v>
      </c>
    </row>
    <row r="7" ht="42" hidden="1" spans="1:7">
      <c r="A7" s="32" t="s">
        <v>109</v>
      </c>
      <c r="B7" s="33" t="s">
        <v>22</v>
      </c>
      <c r="C7" s="28">
        <v>40</v>
      </c>
      <c r="D7" s="29" t="s">
        <v>129</v>
      </c>
      <c r="E7" s="29" t="s">
        <v>130</v>
      </c>
      <c r="F7" s="30" t="s">
        <v>131</v>
      </c>
      <c r="G7" s="31" t="e">
        <f>#REF!</f>
        <v>#REF!</v>
      </c>
    </row>
    <row r="8" s="4" customFormat="1" ht="48" hidden="1" spans="1:7">
      <c r="A8" s="26" t="s">
        <v>132</v>
      </c>
      <c r="B8" s="27" t="s">
        <v>22</v>
      </c>
      <c r="C8" s="28">
        <v>18</v>
      </c>
      <c r="D8" s="29" t="s">
        <v>120</v>
      </c>
      <c r="E8" s="29" t="s">
        <v>133</v>
      </c>
      <c r="F8" s="30" t="s">
        <v>134</v>
      </c>
      <c r="G8" s="31" t="e">
        <f>#REF!</f>
        <v>#REF!</v>
      </c>
    </row>
    <row r="9" s="4" customFormat="1" ht="48" hidden="1" spans="1:7">
      <c r="A9" s="26" t="s">
        <v>135</v>
      </c>
      <c r="B9" s="27" t="s">
        <v>22</v>
      </c>
      <c r="C9" s="28">
        <v>8</v>
      </c>
      <c r="D9" s="29" t="s">
        <v>120</v>
      </c>
      <c r="E9" s="29" t="s">
        <v>136</v>
      </c>
      <c r="F9" s="30" t="s">
        <v>137</v>
      </c>
      <c r="G9" s="31" t="e">
        <f>#REF!</f>
        <v>#REF!</v>
      </c>
    </row>
    <row r="10" s="4" customFormat="1" ht="42" hidden="1" spans="1:7">
      <c r="A10" s="26" t="s">
        <v>138</v>
      </c>
      <c r="B10" s="27" t="s">
        <v>22</v>
      </c>
      <c r="C10" s="28">
        <v>9</v>
      </c>
      <c r="D10" s="29" t="s">
        <v>120</v>
      </c>
      <c r="E10" s="29" t="s">
        <v>139</v>
      </c>
      <c r="F10" s="30" t="s">
        <v>140</v>
      </c>
      <c r="G10" s="31" t="e">
        <f>#REF!</f>
        <v>#REF!</v>
      </c>
    </row>
    <row r="11" s="4" customFormat="1" ht="216" hidden="1" spans="1:7">
      <c r="A11" s="26" t="s">
        <v>97</v>
      </c>
      <c r="B11" s="27" t="s">
        <v>22</v>
      </c>
      <c r="C11" s="28">
        <v>52</v>
      </c>
      <c r="D11" s="29" t="s">
        <v>120</v>
      </c>
      <c r="E11" s="29" t="s">
        <v>141</v>
      </c>
      <c r="F11" s="30" t="s">
        <v>142</v>
      </c>
      <c r="G11" s="31" t="e">
        <f>#REF!</f>
        <v>#REF!</v>
      </c>
    </row>
    <row r="12" s="4" customFormat="1" ht="180" hidden="1" spans="1:7">
      <c r="A12" s="26" t="s">
        <v>143</v>
      </c>
      <c r="B12" s="27" t="s">
        <v>22</v>
      </c>
      <c r="C12" s="28">
        <v>44</v>
      </c>
      <c r="D12" s="29" t="s">
        <v>120</v>
      </c>
      <c r="E12" s="29" t="s">
        <v>144</v>
      </c>
      <c r="F12" s="30" t="s">
        <v>145</v>
      </c>
      <c r="G12" s="31" t="e">
        <f>#REF!</f>
        <v>#REF!</v>
      </c>
    </row>
    <row r="13" ht="48" hidden="1" spans="1:7">
      <c r="A13" s="34" t="s">
        <v>14</v>
      </c>
      <c r="B13" s="35" t="s">
        <v>22</v>
      </c>
      <c r="C13" s="28">
        <v>70</v>
      </c>
      <c r="D13" s="29" t="s">
        <v>146</v>
      </c>
      <c r="E13" s="29" t="s">
        <v>147</v>
      </c>
      <c r="F13" s="30" t="s">
        <v>148</v>
      </c>
      <c r="G13" s="31" t="e">
        <f>#REF!</f>
        <v>#REF!</v>
      </c>
    </row>
    <row r="14" ht="48" hidden="1" spans="1:7">
      <c r="A14" s="34" t="s">
        <v>15</v>
      </c>
      <c r="B14" s="35" t="s">
        <v>22</v>
      </c>
      <c r="C14" s="28">
        <v>85</v>
      </c>
      <c r="D14" s="29" t="s">
        <v>146</v>
      </c>
      <c r="E14" s="29" t="s">
        <v>149</v>
      </c>
      <c r="F14" s="30" t="s">
        <v>148</v>
      </c>
      <c r="G14" s="31" t="e">
        <f>#REF!</f>
        <v>#REF!</v>
      </c>
    </row>
    <row r="15" ht="48" hidden="1" spans="1:7">
      <c r="A15" s="34" t="s">
        <v>16</v>
      </c>
      <c r="B15" s="35" t="s">
        <v>22</v>
      </c>
      <c r="C15" s="28">
        <v>25</v>
      </c>
      <c r="D15" s="29" t="s">
        <v>150</v>
      </c>
      <c r="E15" s="29" t="s">
        <v>151</v>
      </c>
      <c r="F15" s="30" t="s">
        <v>152</v>
      </c>
      <c r="G15" s="31" t="e">
        <f>#REF!</f>
        <v>#REF!</v>
      </c>
    </row>
    <row r="16" ht="48" hidden="1" spans="1:7">
      <c r="A16" s="34" t="s">
        <v>153</v>
      </c>
      <c r="B16" s="35" t="s">
        <v>22</v>
      </c>
      <c r="C16" s="28">
        <v>60</v>
      </c>
      <c r="D16" s="29" t="s">
        <v>150</v>
      </c>
      <c r="E16" s="29" t="s">
        <v>151</v>
      </c>
      <c r="F16" s="30" t="s">
        <v>152</v>
      </c>
      <c r="G16" s="31" t="e">
        <f>#REF!</f>
        <v>#REF!</v>
      </c>
    </row>
    <row r="17" ht="48" hidden="1" spans="1:7">
      <c r="A17" s="34" t="s">
        <v>17</v>
      </c>
      <c r="B17" s="35" t="s">
        <v>22</v>
      </c>
      <c r="C17" s="28">
        <v>40</v>
      </c>
      <c r="D17" s="29" t="s">
        <v>150</v>
      </c>
      <c r="E17" s="29" t="s">
        <v>17</v>
      </c>
      <c r="F17" s="30" t="s">
        <v>152</v>
      </c>
      <c r="G17" s="31" t="e">
        <f>#REF!</f>
        <v>#REF!</v>
      </c>
    </row>
    <row r="18" ht="84" hidden="1" spans="1:7">
      <c r="A18" s="34" t="s">
        <v>154</v>
      </c>
      <c r="B18" s="35" t="s">
        <v>22</v>
      </c>
      <c r="C18" s="28">
        <v>400</v>
      </c>
      <c r="D18" s="29" t="s">
        <v>155</v>
      </c>
      <c r="E18" s="29" t="s">
        <v>156</v>
      </c>
      <c r="F18" s="30" t="s">
        <v>157</v>
      </c>
      <c r="G18" s="31" t="e">
        <f>#REF!</f>
        <v>#REF!</v>
      </c>
    </row>
    <row r="19" ht="72" hidden="1" spans="1:7">
      <c r="A19" s="34" t="s">
        <v>158</v>
      </c>
      <c r="B19" s="35" t="s">
        <v>42</v>
      </c>
      <c r="C19" s="28">
        <v>200</v>
      </c>
      <c r="D19" s="29" t="s">
        <v>43</v>
      </c>
      <c r="E19" s="29" t="s">
        <v>159</v>
      </c>
      <c r="F19" s="30" t="s">
        <v>160</v>
      </c>
      <c r="G19" s="31" t="e">
        <f>#REF!</f>
        <v>#REF!</v>
      </c>
    </row>
    <row r="20" ht="72" hidden="1" spans="1:7">
      <c r="A20" s="34" t="s">
        <v>18</v>
      </c>
      <c r="B20" s="35" t="s">
        <v>161</v>
      </c>
      <c r="C20" s="28">
        <v>158</v>
      </c>
      <c r="D20" s="29" t="s">
        <v>162</v>
      </c>
      <c r="E20" s="29" t="s">
        <v>163</v>
      </c>
      <c r="F20" s="30" t="s">
        <v>160</v>
      </c>
      <c r="G20" s="31" t="e">
        <f>#REF!</f>
        <v>#REF!</v>
      </c>
    </row>
    <row r="21" ht="72" hidden="1" spans="1:7">
      <c r="A21" s="34" t="s">
        <v>164</v>
      </c>
      <c r="B21" s="35" t="s">
        <v>165</v>
      </c>
      <c r="C21" s="28">
        <v>1000</v>
      </c>
      <c r="D21" s="29" t="s">
        <v>166</v>
      </c>
      <c r="E21" s="29" t="s">
        <v>167</v>
      </c>
      <c r="F21" s="30" t="s">
        <v>160</v>
      </c>
      <c r="G21" s="31" t="e">
        <f>#REF!</f>
        <v>#REF!</v>
      </c>
    </row>
    <row r="22" ht="36" hidden="1" spans="1:7">
      <c r="A22" s="34" t="s">
        <v>168</v>
      </c>
      <c r="B22" s="35" t="s">
        <v>22</v>
      </c>
      <c r="C22" s="28">
        <v>100</v>
      </c>
      <c r="D22" s="29" t="s">
        <v>169</v>
      </c>
      <c r="E22" s="29" t="s">
        <v>170</v>
      </c>
      <c r="F22" s="30" t="s">
        <v>171</v>
      </c>
      <c r="G22" s="31" t="e">
        <f>#REF!</f>
        <v>#REF!</v>
      </c>
    </row>
    <row r="23" ht="70" hidden="1" spans="1:7">
      <c r="A23" s="34" t="s">
        <v>19</v>
      </c>
      <c r="B23" s="35" t="s">
        <v>64</v>
      </c>
      <c r="C23" s="28">
        <v>30</v>
      </c>
      <c r="D23" s="29" t="s">
        <v>172</v>
      </c>
      <c r="E23" s="29" t="s">
        <v>173</v>
      </c>
      <c r="F23" s="30" t="s">
        <v>171</v>
      </c>
      <c r="G23" s="31" t="e">
        <f>#REF!</f>
        <v>#REF!</v>
      </c>
    </row>
    <row r="24" ht="36" hidden="1" spans="1:7">
      <c r="A24" s="34" t="s">
        <v>174</v>
      </c>
      <c r="B24" s="35" t="s">
        <v>22</v>
      </c>
      <c r="C24" s="28">
        <v>10</v>
      </c>
      <c r="D24" s="29" t="s">
        <v>150</v>
      </c>
      <c r="E24" s="29" t="s">
        <v>175</v>
      </c>
      <c r="F24" s="30" t="s">
        <v>171</v>
      </c>
      <c r="G24" s="31" t="e">
        <f>#REF!</f>
        <v>#REF!</v>
      </c>
    </row>
    <row r="25" ht="36" hidden="1" spans="1:7">
      <c r="A25" s="34" t="s">
        <v>176</v>
      </c>
      <c r="B25" s="35" t="s">
        <v>92</v>
      </c>
      <c r="C25" s="28">
        <v>150</v>
      </c>
      <c r="D25" s="29" t="s">
        <v>177</v>
      </c>
      <c r="E25" s="29" t="s">
        <v>178</v>
      </c>
      <c r="F25" s="30" t="s">
        <v>171</v>
      </c>
      <c r="G25" s="31" t="e">
        <f>#REF!</f>
        <v>#REF!</v>
      </c>
    </row>
    <row r="26" ht="36" hidden="1" spans="1:7">
      <c r="A26" s="34" t="s">
        <v>179</v>
      </c>
      <c r="B26" s="35" t="s">
        <v>92</v>
      </c>
      <c r="C26" s="28">
        <v>100</v>
      </c>
      <c r="D26" s="29" t="s">
        <v>177</v>
      </c>
      <c r="E26" s="29" t="s">
        <v>180</v>
      </c>
      <c r="F26" s="30" t="s">
        <v>171</v>
      </c>
      <c r="G26" s="31" t="e">
        <f>#REF!</f>
        <v>#REF!</v>
      </c>
    </row>
    <row r="27" ht="112" hidden="1" spans="1:7">
      <c r="A27" s="36" t="s">
        <v>181</v>
      </c>
      <c r="B27" s="35" t="s">
        <v>22</v>
      </c>
      <c r="C27" s="28">
        <v>48</v>
      </c>
      <c r="D27" s="29" t="s">
        <v>182</v>
      </c>
      <c r="E27" s="29" t="s">
        <v>183</v>
      </c>
      <c r="F27" s="30" t="s">
        <v>171</v>
      </c>
      <c r="G27" s="31" t="e">
        <f>#REF!</f>
        <v>#REF!</v>
      </c>
    </row>
    <row r="28" ht="36" hidden="1" spans="1:7">
      <c r="A28" s="34" t="s">
        <v>184</v>
      </c>
      <c r="B28" s="35" t="s">
        <v>22</v>
      </c>
      <c r="C28" s="28">
        <v>30</v>
      </c>
      <c r="D28" s="29" t="s">
        <v>150</v>
      </c>
      <c r="E28" s="29" t="s">
        <v>185</v>
      </c>
      <c r="F28" s="30" t="s">
        <v>171</v>
      </c>
      <c r="G28" s="31" t="e">
        <f>#REF!</f>
        <v>#REF!</v>
      </c>
    </row>
    <row r="29" ht="36" hidden="1" spans="1:7">
      <c r="A29" s="34" t="s">
        <v>186</v>
      </c>
      <c r="B29" s="35" t="s">
        <v>22</v>
      </c>
      <c r="C29" s="28">
        <v>10</v>
      </c>
      <c r="D29" s="29" t="s">
        <v>150</v>
      </c>
      <c r="E29" s="29" t="s">
        <v>187</v>
      </c>
      <c r="F29" s="30" t="s">
        <v>171</v>
      </c>
      <c r="G29" s="31" t="e">
        <f>#REF!</f>
        <v>#REF!</v>
      </c>
    </row>
    <row r="30" ht="84" hidden="1" spans="1:7">
      <c r="A30" s="34" t="s">
        <v>20</v>
      </c>
      <c r="B30" s="35" t="s">
        <v>22</v>
      </c>
      <c r="C30" s="28">
        <v>270</v>
      </c>
      <c r="D30" s="29" t="s">
        <v>188</v>
      </c>
      <c r="E30" s="29" t="s">
        <v>189</v>
      </c>
      <c r="F30" s="30" t="s">
        <v>190</v>
      </c>
      <c r="G30" s="31" t="e">
        <f>#REF!</f>
        <v>#REF!</v>
      </c>
    </row>
    <row r="31" ht="84" hidden="1" spans="1:7">
      <c r="A31" s="34" t="s">
        <v>21</v>
      </c>
      <c r="B31" s="35" t="s">
        <v>22</v>
      </c>
      <c r="C31" s="28">
        <v>300</v>
      </c>
      <c r="D31" s="29" t="s">
        <v>191</v>
      </c>
      <c r="E31" s="29" t="s">
        <v>189</v>
      </c>
      <c r="F31" s="30" t="s">
        <v>190</v>
      </c>
      <c r="G31" s="31" t="e">
        <f>#REF!</f>
        <v>#REF!</v>
      </c>
    </row>
    <row r="32" ht="84" hidden="1" spans="1:7">
      <c r="A32" s="34" t="s">
        <v>24</v>
      </c>
      <c r="B32" s="35" t="s">
        <v>22</v>
      </c>
      <c r="C32" s="28">
        <v>420</v>
      </c>
      <c r="D32" s="29" t="s">
        <v>191</v>
      </c>
      <c r="E32" s="29" t="s">
        <v>189</v>
      </c>
      <c r="F32" s="30" t="s">
        <v>190</v>
      </c>
      <c r="G32" s="31" t="e">
        <f>#REF!</f>
        <v>#REF!</v>
      </c>
    </row>
    <row r="33" ht="84" hidden="1" spans="1:7">
      <c r="A33" s="34" t="s">
        <v>192</v>
      </c>
      <c r="B33" s="35" t="s">
        <v>22</v>
      </c>
      <c r="C33" s="28">
        <v>520</v>
      </c>
      <c r="D33" s="29" t="s">
        <v>191</v>
      </c>
      <c r="E33" s="29" t="s">
        <v>189</v>
      </c>
      <c r="F33" s="30" t="s">
        <v>190</v>
      </c>
      <c r="G33" s="31" t="e">
        <f>#REF!</f>
        <v>#REF!</v>
      </c>
    </row>
    <row r="34" ht="84" hidden="1" spans="1:7">
      <c r="A34" s="34" t="s">
        <v>23</v>
      </c>
      <c r="B34" s="35" t="s">
        <v>22</v>
      </c>
      <c r="C34" s="28">
        <v>385</v>
      </c>
      <c r="D34" s="29" t="s">
        <v>191</v>
      </c>
      <c r="E34" s="29" t="s">
        <v>189</v>
      </c>
      <c r="F34" s="30" t="s">
        <v>190</v>
      </c>
      <c r="G34" s="31" t="e">
        <f>#REF!</f>
        <v>#REF!</v>
      </c>
    </row>
    <row r="35" ht="84" hidden="1" spans="1:7">
      <c r="A35" s="34" t="s">
        <v>193</v>
      </c>
      <c r="B35" s="35" t="s">
        <v>22</v>
      </c>
      <c r="C35" s="28">
        <v>270</v>
      </c>
      <c r="D35" s="29" t="s">
        <v>188</v>
      </c>
      <c r="E35" s="29" t="s">
        <v>189</v>
      </c>
      <c r="F35" s="30" t="s">
        <v>190</v>
      </c>
      <c r="G35" s="31" t="e">
        <f>#REF!</f>
        <v>#REF!</v>
      </c>
    </row>
    <row r="36" ht="84" hidden="1" spans="1:7">
      <c r="A36" s="34" t="s">
        <v>194</v>
      </c>
      <c r="B36" s="35" t="s">
        <v>22</v>
      </c>
      <c r="C36" s="28">
        <v>300</v>
      </c>
      <c r="D36" s="29" t="s">
        <v>195</v>
      </c>
      <c r="E36" s="29" t="s">
        <v>189</v>
      </c>
      <c r="F36" s="30" t="s">
        <v>190</v>
      </c>
      <c r="G36" s="31" t="e">
        <f>#REF!</f>
        <v>#REF!</v>
      </c>
    </row>
    <row r="37" ht="84" hidden="1" spans="1:7">
      <c r="A37" s="34" t="s">
        <v>196</v>
      </c>
      <c r="B37" s="35" t="s">
        <v>22</v>
      </c>
      <c r="C37" s="28">
        <v>420</v>
      </c>
      <c r="D37" s="29" t="s">
        <v>195</v>
      </c>
      <c r="E37" s="29" t="s">
        <v>189</v>
      </c>
      <c r="F37" s="30" t="s">
        <v>190</v>
      </c>
      <c r="G37" s="31" t="e">
        <f>#REF!</f>
        <v>#REF!</v>
      </c>
    </row>
    <row r="38" ht="84" hidden="1" spans="1:7">
      <c r="A38" s="34" t="s">
        <v>197</v>
      </c>
      <c r="B38" s="35" t="s">
        <v>22</v>
      </c>
      <c r="C38" s="28">
        <v>520</v>
      </c>
      <c r="D38" s="29" t="s">
        <v>195</v>
      </c>
      <c r="E38" s="29" t="s">
        <v>189</v>
      </c>
      <c r="F38" s="30" t="s">
        <v>190</v>
      </c>
      <c r="G38" s="31" t="e">
        <f>#REF!</f>
        <v>#REF!</v>
      </c>
    </row>
    <row r="39" ht="84" hidden="1" spans="1:7">
      <c r="A39" s="34" t="s">
        <v>198</v>
      </c>
      <c r="B39" s="35" t="s">
        <v>22</v>
      </c>
      <c r="C39" s="28">
        <v>200</v>
      </c>
      <c r="D39" s="29" t="s">
        <v>195</v>
      </c>
      <c r="E39" s="29" t="s">
        <v>189</v>
      </c>
      <c r="F39" s="30" t="s">
        <v>190</v>
      </c>
      <c r="G39" s="31" t="e">
        <f>#REF!</f>
        <v>#REF!</v>
      </c>
    </row>
    <row r="40" ht="84" hidden="1" spans="1:7">
      <c r="A40" s="34" t="s">
        <v>199</v>
      </c>
      <c r="B40" s="35" t="s">
        <v>22</v>
      </c>
      <c r="C40" s="28">
        <v>280</v>
      </c>
      <c r="D40" s="29" t="s">
        <v>200</v>
      </c>
      <c r="E40" s="29" t="s">
        <v>189</v>
      </c>
      <c r="F40" s="30" t="s">
        <v>190</v>
      </c>
      <c r="G40" s="31" t="e">
        <f>#REF!</f>
        <v>#REF!</v>
      </c>
    </row>
    <row r="41" ht="84" hidden="1" spans="1:7">
      <c r="A41" s="34" t="s">
        <v>201</v>
      </c>
      <c r="B41" s="35" t="s">
        <v>22</v>
      </c>
      <c r="C41" s="28">
        <v>320</v>
      </c>
      <c r="D41" s="29" t="s">
        <v>200</v>
      </c>
      <c r="E41" s="29" t="s">
        <v>189</v>
      </c>
      <c r="F41" s="30" t="s">
        <v>190</v>
      </c>
      <c r="G41" s="31" t="e">
        <f>#REF!</f>
        <v>#REF!</v>
      </c>
    </row>
    <row r="42" ht="84" hidden="1" spans="1:7">
      <c r="A42" s="34" t="s">
        <v>202</v>
      </c>
      <c r="B42" s="35" t="s">
        <v>22</v>
      </c>
      <c r="C42" s="28">
        <v>450</v>
      </c>
      <c r="D42" s="29" t="s">
        <v>200</v>
      </c>
      <c r="E42" s="29" t="s">
        <v>189</v>
      </c>
      <c r="F42" s="30" t="s">
        <v>190</v>
      </c>
      <c r="G42" s="31" t="e">
        <f>#REF!</f>
        <v>#REF!</v>
      </c>
    </row>
    <row r="43" ht="28" hidden="1" spans="1:7">
      <c r="A43" s="34" t="s">
        <v>26</v>
      </c>
      <c r="B43" s="35" t="s">
        <v>92</v>
      </c>
      <c r="C43" s="28">
        <v>200</v>
      </c>
      <c r="D43" s="29" t="s">
        <v>203</v>
      </c>
      <c r="E43" s="29" t="s">
        <v>204</v>
      </c>
      <c r="F43" s="30">
        <v>0</v>
      </c>
      <c r="G43" s="31" t="e">
        <f>#REF!</f>
        <v>#REF!</v>
      </c>
    </row>
    <row r="44" ht="96" hidden="1" spans="1:7">
      <c r="A44" s="34" t="s">
        <v>25</v>
      </c>
      <c r="B44" s="35" t="s">
        <v>92</v>
      </c>
      <c r="C44" s="28">
        <v>150</v>
      </c>
      <c r="D44" s="29" t="s">
        <v>203</v>
      </c>
      <c r="E44" s="29" t="s">
        <v>205</v>
      </c>
      <c r="F44" s="30" t="s">
        <v>206</v>
      </c>
      <c r="G44" s="31" t="e">
        <f>#REF!</f>
        <v>#REF!</v>
      </c>
    </row>
    <row r="45" hidden="1" spans="1:7">
      <c r="A45" s="34" t="s">
        <v>207</v>
      </c>
      <c r="B45" s="35" t="s">
        <v>64</v>
      </c>
      <c r="C45" s="28">
        <v>40</v>
      </c>
      <c r="D45" s="29" t="s">
        <v>208</v>
      </c>
      <c r="E45" s="29">
        <v>0</v>
      </c>
      <c r="F45" s="30">
        <v>0</v>
      </c>
      <c r="G45" s="31" t="e">
        <f>#REF!</f>
        <v>#REF!</v>
      </c>
    </row>
    <row r="46" ht="70" hidden="1" spans="1:7">
      <c r="A46" s="34" t="s">
        <v>28</v>
      </c>
      <c r="B46" s="35" t="s">
        <v>42</v>
      </c>
      <c r="C46" s="28">
        <v>90</v>
      </c>
      <c r="D46" s="29" t="s">
        <v>209</v>
      </c>
      <c r="E46" s="29" t="s">
        <v>210</v>
      </c>
      <c r="F46" s="30" t="s">
        <v>211</v>
      </c>
      <c r="G46" s="31" t="e">
        <f>#REF!</f>
        <v>#REF!</v>
      </c>
    </row>
    <row r="47" ht="70" hidden="1" spans="1:7">
      <c r="A47" s="34" t="s">
        <v>212</v>
      </c>
      <c r="B47" s="35" t="s">
        <v>42</v>
      </c>
      <c r="C47" s="28">
        <v>100</v>
      </c>
      <c r="D47" s="29" t="s">
        <v>209</v>
      </c>
      <c r="E47" s="29" t="s">
        <v>213</v>
      </c>
      <c r="F47" s="30" t="s">
        <v>211</v>
      </c>
      <c r="G47" s="31" t="e">
        <f>#REF!</f>
        <v>#REF!</v>
      </c>
    </row>
    <row r="48" ht="70" hidden="1" spans="1:7">
      <c r="A48" s="34" t="s">
        <v>29</v>
      </c>
      <c r="B48" s="35" t="s">
        <v>42</v>
      </c>
      <c r="C48" s="28">
        <v>110</v>
      </c>
      <c r="D48" s="29" t="s">
        <v>209</v>
      </c>
      <c r="E48" s="29" t="s">
        <v>214</v>
      </c>
      <c r="F48" s="30" t="s">
        <v>211</v>
      </c>
      <c r="G48" s="31" t="e">
        <f>#REF!</f>
        <v>#REF!</v>
      </c>
    </row>
    <row r="49" ht="70" hidden="1" spans="1:7">
      <c r="A49" s="34" t="s">
        <v>30</v>
      </c>
      <c r="B49" s="35" t="s">
        <v>42</v>
      </c>
      <c r="C49" s="28">
        <v>150</v>
      </c>
      <c r="D49" s="29" t="s">
        <v>209</v>
      </c>
      <c r="E49" s="29" t="s">
        <v>215</v>
      </c>
      <c r="F49" s="30" t="s">
        <v>216</v>
      </c>
      <c r="G49" s="31" t="e">
        <f>#REF!</f>
        <v>#REF!</v>
      </c>
    </row>
    <row r="50" ht="72" hidden="1" spans="1:7">
      <c r="A50" s="34" t="s">
        <v>33</v>
      </c>
      <c r="B50" s="35" t="s">
        <v>22</v>
      </c>
      <c r="C50" s="28">
        <v>75</v>
      </c>
      <c r="D50" s="29" t="s">
        <v>217</v>
      </c>
      <c r="E50" s="29" t="s">
        <v>218</v>
      </c>
      <c r="F50" s="30" t="s">
        <v>219</v>
      </c>
      <c r="G50" s="31" t="e">
        <f>#REF!</f>
        <v>#REF!</v>
      </c>
    </row>
    <row r="51" ht="72" hidden="1" spans="1:7">
      <c r="A51" s="34" t="s">
        <v>220</v>
      </c>
      <c r="B51" s="35" t="s">
        <v>22</v>
      </c>
      <c r="C51" s="28">
        <v>50</v>
      </c>
      <c r="D51" s="29" t="s">
        <v>221</v>
      </c>
      <c r="E51" s="29" t="s">
        <v>222</v>
      </c>
      <c r="F51" s="30" t="s">
        <v>223</v>
      </c>
      <c r="G51" s="31" t="e">
        <f>#REF!</f>
        <v>#REF!</v>
      </c>
    </row>
    <row r="52" hidden="1" spans="1:7">
      <c r="A52" s="34" t="s">
        <v>27</v>
      </c>
      <c r="B52" s="35" t="s">
        <v>224</v>
      </c>
      <c r="C52" s="28">
        <v>100</v>
      </c>
      <c r="D52" s="29" t="s">
        <v>203</v>
      </c>
      <c r="E52" s="29" t="s">
        <v>225</v>
      </c>
      <c r="F52" s="30">
        <v>0</v>
      </c>
      <c r="G52" s="31" t="e">
        <f>#REF!</f>
        <v>#REF!</v>
      </c>
    </row>
    <row r="53" ht="56" hidden="1" spans="1:7">
      <c r="A53" s="34" t="s">
        <v>226</v>
      </c>
      <c r="B53" s="35" t="s">
        <v>92</v>
      </c>
      <c r="C53" s="28">
        <v>1980</v>
      </c>
      <c r="D53" s="29" t="s">
        <v>227</v>
      </c>
      <c r="E53" s="29" t="s">
        <v>228</v>
      </c>
      <c r="F53" s="30" t="s">
        <v>229</v>
      </c>
      <c r="G53" s="31" t="e">
        <f>#REF!</f>
        <v>#REF!</v>
      </c>
    </row>
    <row r="54" ht="56" hidden="1" spans="1:7">
      <c r="A54" s="34" t="s">
        <v>230</v>
      </c>
      <c r="B54" s="35" t="s">
        <v>92</v>
      </c>
      <c r="C54" s="28">
        <v>2450</v>
      </c>
      <c r="D54" s="29" t="s">
        <v>231</v>
      </c>
      <c r="E54" s="29" t="s">
        <v>232</v>
      </c>
      <c r="F54" s="30" t="s">
        <v>233</v>
      </c>
      <c r="G54" s="31" t="e">
        <f>#REF!</f>
        <v>#REF!</v>
      </c>
    </row>
    <row r="55" ht="60" hidden="1" spans="1:7">
      <c r="A55" s="34" t="s">
        <v>234</v>
      </c>
      <c r="B55" s="35" t="s">
        <v>92</v>
      </c>
      <c r="C55" s="28">
        <v>4800</v>
      </c>
      <c r="D55" s="29" t="s">
        <v>235</v>
      </c>
      <c r="E55" s="29" t="s">
        <v>236</v>
      </c>
      <c r="F55" s="30" t="s">
        <v>237</v>
      </c>
      <c r="G55" s="31" t="e">
        <f>#REF!</f>
        <v>#REF!</v>
      </c>
    </row>
    <row r="56" ht="60" hidden="1" spans="1:7">
      <c r="A56" s="34" t="s">
        <v>238</v>
      </c>
      <c r="B56" s="35" t="s">
        <v>92</v>
      </c>
      <c r="C56" s="28">
        <v>5600</v>
      </c>
      <c r="D56" s="29" t="s">
        <v>239</v>
      </c>
      <c r="E56" s="29" t="s">
        <v>236</v>
      </c>
      <c r="F56" s="30" t="s">
        <v>237</v>
      </c>
      <c r="G56" s="31" t="e">
        <f>#REF!</f>
        <v>#REF!</v>
      </c>
    </row>
    <row r="57" ht="156" hidden="1" spans="1:7">
      <c r="A57" s="34" t="s">
        <v>240</v>
      </c>
      <c r="B57" s="35" t="s">
        <v>22</v>
      </c>
      <c r="C57" s="28">
        <v>139</v>
      </c>
      <c r="D57" s="29" t="s">
        <v>241</v>
      </c>
      <c r="E57" s="29" t="s">
        <v>242</v>
      </c>
      <c r="F57" s="30" t="s">
        <v>243</v>
      </c>
      <c r="G57" s="31" t="e">
        <f>#REF!</f>
        <v>#REF!</v>
      </c>
    </row>
    <row r="58" ht="192" hidden="1" spans="1:7">
      <c r="A58" s="34" t="s">
        <v>244</v>
      </c>
      <c r="B58" s="35" t="s">
        <v>22</v>
      </c>
      <c r="C58" s="28">
        <v>169</v>
      </c>
      <c r="D58" s="29" t="s">
        <v>241</v>
      </c>
      <c r="E58" s="29" t="s">
        <v>242</v>
      </c>
      <c r="F58" s="30" t="s">
        <v>245</v>
      </c>
      <c r="G58" s="31" t="e">
        <f>#REF!</f>
        <v>#REF!</v>
      </c>
    </row>
    <row r="59" ht="180" hidden="1" spans="1:7">
      <c r="A59" s="34" t="s">
        <v>246</v>
      </c>
      <c r="B59" s="35" t="s">
        <v>22</v>
      </c>
      <c r="C59" s="28">
        <v>259</v>
      </c>
      <c r="D59" s="29" t="s">
        <v>241</v>
      </c>
      <c r="E59" s="29" t="s">
        <v>242</v>
      </c>
      <c r="F59" s="30" t="s">
        <v>247</v>
      </c>
      <c r="G59" s="31" t="e">
        <f>#REF!</f>
        <v>#REF!</v>
      </c>
    </row>
    <row r="60" ht="180" hidden="1" spans="1:7">
      <c r="A60" s="34" t="s">
        <v>248</v>
      </c>
      <c r="B60" s="35" t="s">
        <v>22</v>
      </c>
      <c r="C60" s="28">
        <v>299</v>
      </c>
      <c r="D60" s="29" t="s">
        <v>241</v>
      </c>
      <c r="E60" s="29" t="s">
        <v>242</v>
      </c>
      <c r="F60" s="30" t="s">
        <v>247</v>
      </c>
      <c r="G60" s="31" t="e">
        <f>#REF!</f>
        <v>#REF!</v>
      </c>
    </row>
    <row r="61" ht="180" hidden="1" spans="1:7">
      <c r="A61" s="34" t="s">
        <v>249</v>
      </c>
      <c r="B61" s="35" t="s">
        <v>22</v>
      </c>
      <c r="C61" s="28">
        <v>299</v>
      </c>
      <c r="D61" s="29" t="s">
        <v>241</v>
      </c>
      <c r="E61" s="29" t="s">
        <v>242</v>
      </c>
      <c r="F61" s="30" t="s">
        <v>250</v>
      </c>
      <c r="G61" s="31" t="e">
        <f>#REF!</f>
        <v>#REF!</v>
      </c>
    </row>
    <row r="62" ht="180" hidden="1" spans="1:7">
      <c r="A62" s="34" t="s">
        <v>251</v>
      </c>
      <c r="B62" s="35" t="s">
        <v>22</v>
      </c>
      <c r="C62" s="28">
        <v>289</v>
      </c>
      <c r="D62" s="29" t="s">
        <v>241</v>
      </c>
      <c r="E62" s="29" t="s">
        <v>242</v>
      </c>
      <c r="F62" s="30" t="s">
        <v>247</v>
      </c>
      <c r="G62" s="31" t="e">
        <f>#REF!</f>
        <v>#REF!</v>
      </c>
    </row>
    <row r="63" ht="180" hidden="1" spans="1:7">
      <c r="A63" s="34" t="s">
        <v>252</v>
      </c>
      <c r="B63" s="35" t="s">
        <v>22</v>
      </c>
      <c r="C63" s="28">
        <v>339</v>
      </c>
      <c r="D63" s="29" t="s">
        <v>241</v>
      </c>
      <c r="E63" s="29" t="s">
        <v>242</v>
      </c>
      <c r="F63" s="30" t="s">
        <v>247</v>
      </c>
      <c r="G63" s="31" t="e">
        <f>#REF!</f>
        <v>#REF!</v>
      </c>
    </row>
    <row r="64" ht="180" hidden="1" spans="1:7">
      <c r="A64" s="34" t="s">
        <v>35</v>
      </c>
      <c r="B64" s="35" t="s">
        <v>22</v>
      </c>
      <c r="C64" s="28">
        <v>339</v>
      </c>
      <c r="D64" s="29" t="s">
        <v>241</v>
      </c>
      <c r="E64" s="29" t="s">
        <v>242</v>
      </c>
      <c r="F64" s="30" t="s">
        <v>250</v>
      </c>
      <c r="G64" s="31" t="e">
        <f>#REF!</f>
        <v>#REF!</v>
      </c>
    </row>
    <row r="65" ht="192" hidden="1" spans="1:7">
      <c r="A65" s="34" t="s">
        <v>253</v>
      </c>
      <c r="B65" s="35" t="s">
        <v>22</v>
      </c>
      <c r="C65" s="28">
        <v>339</v>
      </c>
      <c r="D65" s="29" t="s">
        <v>241</v>
      </c>
      <c r="E65" s="29" t="s">
        <v>242</v>
      </c>
      <c r="F65" s="30" t="s">
        <v>245</v>
      </c>
      <c r="G65" s="31" t="e">
        <f>#REF!</f>
        <v>#REF!</v>
      </c>
    </row>
    <row r="66" ht="192" hidden="1" spans="1:7">
      <c r="A66" s="34" t="s">
        <v>254</v>
      </c>
      <c r="B66" s="35" t="s">
        <v>22</v>
      </c>
      <c r="C66" s="28">
        <v>399</v>
      </c>
      <c r="D66" s="29" t="s">
        <v>241</v>
      </c>
      <c r="E66" s="29" t="s">
        <v>242</v>
      </c>
      <c r="F66" s="30" t="s">
        <v>245</v>
      </c>
      <c r="G66" s="31" t="e">
        <f>#REF!</f>
        <v>#REF!</v>
      </c>
    </row>
    <row r="67" ht="192" hidden="1" spans="1:7">
      <c r="A67" s="34" t="s">
        <v>255</v>
      </c>
      <c r="B67" s="35" t="s">
        <v>22</v>
      </c>
      <c r="C67" s="28">
        <v>399</v>
      </c>
      <c r="D67" s="29" t="s">
        <v>241</v>
      </c>
      <c r="E67" s="29" t="s">
        <v>242</v>
      </c>
      <c r="F67" s="30" t="s">
        <v>245</v>
      </c>
      <c r="G67" s="31" t="e">
        <f>#REF!</f>
        <v>#REF!</v>
      </c>
    </row>
    <row r="68" ht="48" hidden="1" spans="1:7">
      <c r="A68" s="34" t="s">
        <v>256</v>
      </c>
      <c r="B68" s="35" t="s">
        <v>22</v>
      </c>
      <c r="C68" s="28">
        <v>12</v>
      </c>
      <c r="D68" s="29" t="s">
        <v>120</v>
      </c>
      <c r="E68" s="29" t="s">
        <v>257</v>
      </c>
      <c r="F68" s="30" t="s">
        <v>258</v>
      </c>
      <c r="G68" s="31" t="e">
        <f>#REF!</f>
        <v>#REF!</v>
      </c>
    </row>
    <row r="69" ht="48" hidden="1" spans="1:7">
      <c r="A69" s="34" t="s">
        <v>259</v>
      </c>
      <c r="B69" s="35" t="s">
        <v>22</v>
      </c>
      <c r="C69" s="28">
        <v>36</v>
      </c>
      <c r="D69" s="29" t="s">
        <v>260</v>
      </c>
      <c r="E69" s="29" t="s">
        <v>261</v>
      </c>
      <c r="F69" s="30" t="s">
        <v>258</v>
      </c>
      <c r="G69" s="31" t="e">
        <f>#REF!</f>
        <v>#REF!</v>
      </c>
    </row>
    <row r="70" s="5" customFormat="1" ht="48" hidden="1" spans="1:7">
      <c r="A70" s="34" t="s">
        <v>262</v>
      </c>
      <c r="B70" s="35" t="s">
        <v>22</v>
      </c>
      <c r="C70" s="28">
        <v>29</v>
      </c>
      <c r="D70" s="29" t="s">
        <v>120</v>
      </c>
      <c r="E70" s="29" t="s">
        <v>263</v>
      </c>
      <c r="F70" s="30" t="s">
        <v>258</v>
      </c>
      <c r="G70" s="31" t="e">
        <f>#REF!</f>
        <v>#REF!</v>
      </c>
    </row>
    <row r="71" ht="24" hidden="1" spans="1:7">
      <c r="A71" s="34" t="s">
        <v>264</v>
      </c>
      <c r="B71" s="35" t="s">
        <v>92</v>
      </c>
      <c r="C71" s="28">
        <v>85</v>
      </c>
      <c r="D71" s="29" t="s">
        <v>265</v>
      </c>
      <c r="E71" s="29" t="s">
        <v>266</v>
      </c>
      <c r="F71" s="30" t="s">
        <v>267</v>
      </c>
      <c r="G71" s="31" t="e">
        <f>#REF!</f>
        <v>#REF!</v>
      </c>
    </row>
    <row r="72" ht="48" hidden="1" spans="1:7">
      <c r="A72" s="34" t="s">
        <v>268</v>
      </c>
      <c r="B72" s="35" t="s">
        <v>92</v>
      </c>
      <c r="C72" s="28">
        <v>100</v>
      </c>
      <c r="D72" s="29" t="s">
        <v>265</v>
      </c>
      <c r="E72" s="29" t="s">
        <v>266</v>
      </c>
      <c r="F72" s="30" t="s">
        <v>258</v>
      </c>
      <c r="G72" s="31" t="e">
        <f>#REF!</f>
        <v>#REF!</v>
      </c>
    </row>
    <row r="73" ht="48" hidden="1" spans="1:7">
      <c r="A73" s="34" t="s">
        <v>269</v>
      </c>
      <c r="B73" s="35" t="s">
        <v>92</v>
      </c>
      <c r="C73" s="28">
        <v>50</v>
      </c>
      <c r="D73" s="29" t="s">
        <v>265</v>
      </c>
      <c r="E73" s="29" t="s">
        <v>266</v>
      </c>
      <c r="F73" s="30" t="s">
        <v>258</v>
      </c>
      <c r="G73" s="31" t="e">
        <f>#REF!</f>
        <v>#REF!</v>
      </c>
    </row>
    <row r="74" ht="48" hidden="1" spans="1:7">
      <c r="A74" s="34" t="s">
        <v>270</v>
      </c>
      <c r="B74" s="35" t="s">
        <v>92</v>
      </c>
      <c r="C74" s="28">
        <v>160</v>
      </c>
      <c r="D74" s="37" t="s">
        <v>203</v>
      </c>
      <c r="E74" s="29" t="s">
        <v>266</v>
      </c>
      <c r="F74" s="38" t="s">
        <v>271</v>
      </c>
      <c r="G74" s="31" t="e">
        <f>#REF!</f>
        <v>#REF!</v>
      </c>
    </row>
    <row r="75" ht="48" hidden="1" spans="1:7">
      <c r="A75" s="34" t="s">
        <v>272</v>
      </c>
      <c r="B75" s="35" t="s">
        <v>92</v>
      </c>
      <c r="C75" s="28">
        <v>160</v>
      </c>
      <c r="D75" s="37" t="s">
        <v>265</v>
      </c>
      <c r="E75" s="29" t="s">
        <v>273</v>
      </c>
      <c r="F75" s="38" t="s">
        <v>258</v>
      </c>
      <c r="G75" s="31" t="e">
        <f>#REF!</f>
        <v>#REF!</v>
      </c>
    </row>
    <row r="76" ht="48" hidden="1" spans="1:7">
      <c r="A76" s="34" t="s">
        <v>274</v>
      </c>
      <c r="B76" s="35" t="s">
        <v>92</v>
      </c>
      <c r="C76" s="28">
        <v>380</v>
      </c>
      <c r="D76" s="37" t="s">
        <v>265</v>
      </c>
      <c r="E76" s="29" t="s">
        <v>273</v>
      </c>
      <c r="F76" s="38" t="s">
        <v>258</v>
      </c>
      <c r="G76" s="31" t="e">
        <f>#REF!</f>
        <v>#REF!</v>
      </c>
    </row>
    <row r="77" s="5" customFormat="1" ht="48" hidden="1" spans="1:7">
      <c r="A77" s="34" t="s">
        <v>275</v>
      </c>
      <c r="B77" s="35" t="s">
        <v>92</v>
      </c>
      <c r="C77" s="28">
        <v>480</v>
      </c>
      <c r="D77" s="37" t="s">
        <v>203</v>
      </c>
      <c r="E77" s="29" t="s">
        <v>273</v>
      </c>
      <c r="F77" s="38" t="s">
        <v>258</v>
      </c>
      <c r="G77" s="31" t="e">
        <f>#REF!</f>
        <v>#REF!</v>
      </c>
    </row>
    <row r="78" ht="48" hidden="1" spans="1:7">
      <c r="A78" s="34" t="s">
        <v>276</v>
      </c>
      <c r="B78" s="35" t="s">
        <v>92</v>
      </c>
      <c r="C78" s="28">
        <v>160</v>
      </c>
      <c r="D78" s="37" t="s">
        <v>203</v>
      </c>
      <c r="E78" s="29" t="s">
        <v>273</v>
      </c>
      <c r="F78" s="38" t="s">
        <v>277</v>
      </c>
      <c r="G78" s="31" t="e">
        <f>#REF!</f>
        <v>#REF!</v>
      </c>
    </row>
    <row r="79" ht="48" hidden="1" spans="1:7">
      <c r="A79" s="34" t="s">
        <v>278</v>
      </c>
      <c r="B79" s="35" t="s">
        <v>92</v>
      </c>
      <c r="C79" s="28">
        <v>480</v>
      </c>
      <c r="D79" s="29" t="s">
        <v>265</v>
      </c>
      <c r="E79" s="29" t="s">
        <v>273</v>
      </c>
      <c r="F79" s="30" t="s">
        <v>279</v>
      </c>
      <c r="G79" s="31" t="e">
        <f>#REF!</f>
        <v>#REF!</v>
      </c>
    </row>
    <row r="80" ht="48" hidden="1" spans="1:7">
      <c r="A80" s="34" t="s">
        <v>280</v>
      </c>
      <c r="B80" s="35" t="s">
        <v>92</v>
      </c>
      <c r="C80" s="28">
        <v>160</v>
      </c>
      <c r="D80" s="29" t="s">
        <v>203</v>
      </c>
      <c r="E80" s="29" t="s">
        <v>273</v>
      </c>
      <c r="F80" s="30" t="s">
        <v>281</v>
      </c>
      <c r="G80" s="31" t="e">
        <f>#REF!</f>
        <v>#REF!</v>
      </c>
    </row>
    <row r="81" s="5" customFormat="1" ht="36" hidden="1" spans="1:7">
      <c r="A81" s="34" t="s">
        <v>282</v>
      </c>
      <c r="B81" s="35" t="s">
        <v>82</v>
      </c>
      <c r="C81" s="28">
        <v>1580</v>
      </c>
      <c r="D81" s="29" t="s">
        <v>283</v>
      </c>
      <c r="E81" s="29" t="s">
        <v>284</v>
      </c>
      <c r="F81" s="30" t="s">
        <v>285</v>
      </c>
      <c r="G81" s="31" t="e">
        <f>#REF!</f>
        <v>#REF!</v>
      </c>
    </row>
    <row r="82" s="5" customFormat="1" ht="36" hidden="1" spans="1:7">
      <c r="A82" s="34" t="s">
        <v>286</v>
      </c>
      <c r="B82" s="35" t="s">
        <v>82</v>
      </c>
      <c r="C82" s="28">
        <v>2280</v>
      </c>
      <c r="D82" s="29" t="s">
        <v>283</v>
      </c>
      <c r="E82" s="29" t="s">
        <v>284</v>
      </c>
      <c r="F82" s="30" t="s">
        <v>285</v>
      </c>
      <c r="G82" s="31" t="e">
        <f>#REF!</f>
        <v>#REF!</v>
      </c>
    </row>
    <row r="83" s="5" customFormat="1" ht="36" hidden="1" spans="1:7">
      <c r="A83" s="34" t="s">
        <v>287</v>
      </c>
      <c r="B83" s="35" t="s">
        <v>82</v>
      </c>
      <c r="C83" s="28">
        <v>2780</v>
      </c>
      <c r="D83" s="29" t="s">
        <v>283</v>
      </c>
      <c r="E83" s="29" t="s">
        <v>284</v>
      </c>
      <c r="F83" s="30" t="s">
        <v>285</v>
      </c>
      <c r="G83" s="31" t="e">
        <f>#REF!</f>
        <v>#REF!</v>
      </c>
    </row>
    <row r="84" s="5" customFormat="1" ht="36" hidden="1" spans="1:7">
      <c r="A84" s="34" t="s">
        <v>288</v>
      </c>
      <c r="B84" s="35" t="s">
        <v>82</v>
      </c>
      <c r="C84" s="28">
        <v>3280</v>
      </c>
      <c r="D84" s="29" t="s">
        <v>283</v>
      </c>
      <c r="E84" s="29" t="s">
        <v>284</v>
      </c>
      <c r="F84" s="30" t="s">
        <v>285</v>
      </c>
      <c r="G84" s="31" t="e">
        <f>#REF!</f>
        <v>#REF!</v>
      </c>
    </row>
    <row r="85" s="5" customFormat="1" ht="36" hidden="1" spans="1:7">
      <c r="A85" s="34" t="s">
        <v>289</v>
      </c>
      <c r="B85" s="35" t="s">
        <v>82</v>
      </c>
      <c r="C85" s="28">
        <v>3780</v>
      </c>
      <c r="D85" s="29" t="s">
        <v>283</v>
      </c>
      <c r="E85" s="29" t="s">
        <v>284</v>
      </c>
      <c r="F85" s="30" t="s">
        <v>285</v>
      </c>
      <c r="G85" s="31" t="e">
        <f>#REF!</f>
        <v>#REF!</v>
      </c>
    </row>
    <row r="86" ht="36" hidden="1" spans="1:7">
      <c r="A86" s="34" t="s">
        <v>290</v>
      </c>
      <c r="B86" s="35" t="s">
        <v>82</v>
      </c>
      <c r="C86" s="28">
        <v>580</v>
      </c>
      <c r="D86" s="29" t="s">
        <v>283</v>
      </c>
      <c r="E86" s="29" t="s">
        <v>291</v>
      </c>
      <c r="F86" s="30" t="s">
        <v>292</v>
      </c>
      <c r="G86" s="31" t="e">
        <f>#REF!</f>
        <v>#REF!</v>
      </c>
    </row>
    <row r="87" ht="24" hidden="1" spans="1:7">
      <c r="A87" s="34" t="s">
        <v>293</v>
      </c>
      <c r="B87" s="35" t="s">
        <v>92</v>
      </c>
      <c r="C87" s="28">
        <v>150</v>
      </c>
      <c r="D87" s="29" t="s">
        <v>203</v>
      </c>
      <c r="E87" s="29" t="s">
        <v>294</v>
      </c>
      <c r="F87" s="30" t="s">
        <v>295</v>
      </c>
      <c r="G87" s="31" t="e">
        <f>#REF!</f>
        <v>#REF!</v>
      </c>
    </row>
    <row r="88" ht="36" hidden="1" spans="1:7">
      <c r="A88" s="34" t="s">
        <v>296</v>
      </c>
      <c r="B88" s="35" t="s">
        <v>82</v>
      </c>
      <c r="C88" s="28">
        <v>600</v>
      </c>
      <c r="D88" s="29" t="s">
        <v>283</v>
      </c>
      <c r="E88" s="29" t="s">
        <v>297</v>
      </c>
      <c r="F88" s="30" t="s">
        <v>298</v>
      </c>
      <c r="G88" s="31" t="e">
        <f>#REF!</f>
        <v>#REF!</v>
      </c>
    </row>
    <row r="89" ht="48" hidden="1" spans="1:7">
      <c r="A89" s="34" t="s">
        <v>299</v>
      </c>
      <c r="B89" s="35" t="s">
        <v>82</v>
      </c>
      <c r="C89" s="28">
        <v>480</v>
      </c>
      <c r="D89" s="29" t="s">
        <v>283</v>
      </c>
      <c r="E89" s="29" t="s">
        <v>300</v>
      </c>
      <c r="F89" s="30" t="s">
        <v>301</v>
      </c>
      <c r="G89" s="31" t="e">
        <f>#REF!</f>
        <v>#REF!</v>
      </c>
    </row>
    <row r="90" ht="28" hidden="1" spans="1:7">
      <c r="A90" s="34" t="s">
        <v>302</v>
      </c>
      <c r="B90" s="35" t="s">
        <v>92</v>
      </c>
      <c r="C90" s="28">
        <v>500</v>
      </c>
      <c r="D90" s="29" t="s">
        <v>303</v>
      </c>
      <c r="E90" s="29" t="s">
        <v>304</v>
      </c>
      <c r="F90" s="30" t="s">
        <v>267</v>
      </c>
      <c r="G90" s="31" t="e">
        <f>#REF!</f>
        <v>#REF!</v>
      </c>
    </row>
    <row r="91" ht="28" hidden="1" spans="1:7">
      <c r="A91" s="34" t="s">
        <v>305</v>
      </c>
      <c r="B91" s="35" t="s">
        <v>92</v>
      </c>
      <c r="C91" s="28">
        <v>1200</v>
      </c>
      <c r="D91" s="29" t="s">
        <v>306</v>
      </c>
      <c r="E91" s="29" t="s">
        <v>304</v>
      </c>
      <c r="F91" s="30" t="s">
        <v>267</v>
      </c>
      <c r="G91" s="31" t="e">
        <f>#REF!</f>
        <v>#REF!</v>
      </c>
    </row>
    <row r="92" ht="28" hidden="1" spans="1:7">
      <c r="A92" s="34" t="s">
        <v>307</v>
      </c>
      <c r="B92" s="35" t="s">
        <v>308</v>
      </c>
      <c r="C92" s="28">
        <v>1699</v>
      </c>
      <c r="D92" s="29" t="s">
        <v>309</v>
      </c>
      <c r="E92" s="29" t="s">
        <v>310</v>
      </c>
      <c r="F92" s="30" t="s">
        <v>311</v>
      </c>
      <c r="G92" s="31" t="e">
        <f>#REF!</f>
        <v>#REF!</v>
      </c>
    </row>
    <row r="93" ht="28" hidden="1" spans="1:7">
      <c r="A93" s="34" t="s">
        <v>312</v>
      </c>
      <c r="B93" s="35" t="s">
        <v>308</v>
      </c>
      <c r="C93" s="28">
        <v>2199</v>
      </c>
      <c r="D93" s="29" t="s">
        <v>309</v>
      </c>
      <c r="E93" s="29" t="s">
        <v>310</v>
      </c>
      <c r="F93" s="30" t="s">
        <v>311</v>
      </c>
      <c r="G93" s="31" t="e">
        <f>#REF!</f>
        <v>#REF!</v>
      </c>
    </row>
    <row r="94" ht="28" hidden="1" spans="1:7">
      <c r="A94" s="34" t="s">
        <v>313</v>
      </c>
      <c r="B94" s="35" t="s">
        <v>308</v>
      </c>
      <c r="C94" s="28">
        <v>2899</v>
      </c>
      <c r="D94" s="29" t="s">
        <v>309</v>
      </c>
      <c r="E94" s="29" t="s">
        <v>310</v>
      </c>
      <c r="F94" s="30" t="s">
        <v>311</v>
      </c>
      <c r="G94" s="31" t="e">
        <f>#REF!</f>
        <v>#REF!</v>
      </c>
    </row>
    <row r="95" ht="56" hidden="1" spans="1:7">
      <c r="A95" s="34" t="s">
        <v>314</v>
      </c>
      <c r="B95" s="35" t="s">
        <v>92</v>
      </c>
      <c r="C95" s="28">
        <v>200</v>
      </c>
      <c r="D95" s="29" t="s">
        <v>315</v>
      </c>
      <c r="E95" s="29" t="s">
        <v>310</v>
      </c>
      <c r="F95" s="30" t="s">
        <v>316</v>
      </c>
      <c r="G95" s="31" t="e">
        <f>#REF!</f>
        <v>#REF!</v>
      </c>
    </row>
    <row r="96" ht="56" hidden="1" spans="1:7">
      <c r="A96" s="34" t="s">
        <v>317</v>
      </c>
      <c r="B96" s="35" t="s">
        <v>92</v>
      </c>
      <c r="C96" s="28">
        <v>200</v>
      </c>
      <c r="D96" s="29" t="s">
        <v>315</v>
      </c>
      <c r="E96" s="29" t="s">
        <v>318</v>
      </c>
      <c r="F96" s="30" t="s">
        <v>319</v>
      </c>
      <c r="G96" s="31" t="e">
        <f>#REF!</f>
        <v>#REF!</v>
      </c>
    </row>
    <row r="97" ht="56" hidden="1" spans="1:7">
      <c r="A97" s="34" t="s">
        <v>320</v>
      </c>
      <c r="B97" s="35" t="s">
        <v>92</v>
      </c>
      <c r="C97" s="28">
        <v>300</v>
      </c>
      <c r="D97" s="29" t="s">
        <v>203</v>
      </c>
      <c r="E97" s="29" t="s">
        <v>321</v>
      </c>
      <c r="F97" s="30" t="s">
        <v>322</v>
      </c>
      <c r="G97" s="31" t="e">
        <f>#REF!</f>
        <v>#REF!</v>
      </c>
    </row>
    <row r="98" ht="56" hidden="1" spans="1:7">
      <c r="A98" s="34" t="s">
        <v>323</v>
      </c>
      <c r="B98" s="35" t="s">
        <v>92</v>
      </c>
      <c r="C98" s="28">
        <v>300</v>
      </c>
      <c r="D98" s="29" t="s">
        <v>203</v>
      </c>
      <c r="E98" s="29" t="s">
        <v>321</v>
      </c>
      <c r="F98" s="30" t="s">
        <v>324</v>
      </c>
      <c r="G98" s="31" t="e">
        <f>#REF!</f>
        <v>#REF!</v>
      </c>
    </row>
    <row r="99" ht="42" hidden="1" spans="1:7">
      <c r="A99" s="34" t="s">
        <v>325</v>
      </c>
      <c r="B99" s="35" t="s">
        <v>92</v>
      </c>
      <c r="C99" s="28">
        <v>400</v>
      </c>
      <c r="D99" s="29" t="s">
        <v>203</v>
      </c>
      <c r="E99" s="29" t="s">
        <v>326</v>
      </c>
      <c r="F99" s="30" t="s">
        <v>327</v>
      </c>
      <c r="G99" s="31" t="e">
        <f>#REF!</f>
        <v>#REF!</v>
      </c>
    </row>
    <row r="100" ht="42" hidden="1" spans="1:7">
      <c r="A100" s="34" t="s">
        <v>328</v>
      </c>
      <c r="B100" s="35" t="s">
        <v>92</v>
      </c>
      <c r="C100" s="28">
        <v>400</v>
      </c>
      <c r="D100" s="29" t="s">
        <v>203</v>
      </c>
      <c r="E100" s="29" t="s">
        <v>329</v>
      </c>
      <c r="F100" s="30" t="s">
        <v>327</v>
      </c>
      <c r="G100" s="31" t="e">
        <f>#REF!</f>
        <v>#REF!</v>
      </c>
    </row>
    <row r="101" ht="28" hidden="1" spans="1:7">
      <c r="A101" s="34" t="s">
        <v>330</v>
      </c>
      <c r="B101" s="35" t="s">
        <v>64</v>
      </c>
      <c r="C101" s="28">
        <v>38</v>
      </c>
      <c r="D101" s="29" t="s">
        <v>331</v>
      </c>
      <c r="E101" s="29" t="s">
        <v>332</v>
      </c>
      <c r="F101" s="30" t="s">
        <v>267</v>
      </c>
      <c r="G101" s="31" t="e">
        <f>#REF!</f>
        <v>#REF!</v>
      </c>
    </row>
    <row r="102" ht="28" hidden="1" spans="1:7">
      <c r="A102" s="34" t="s">
        <v>333</v>
      </c>
      <c r="B102" s="35" t="s">
        <v>64</v>
      </c>
      <c r="C102" s="28">
        <v>38</v>
      </c>
      <c r="D102" s="29" t="s">
        <v>331</v>
      </c>
      <c r="E102" s="29" t="s">
        <v>332</v>
      </c>
      <c r="F102" s="30" t="s">
        <v>267</v>
      </c>
      <c r="G102" s="31" t="e">
        <f>#REF!</f>
        <v>#REF!</v>
      </c>
    </row>
    <row r="103" ht="28" hidden="1" spans="1:7">
      <c r="A103" s="34" t="s">
        <v>334</v>
      </c>
      <c r="B103" s="35" t="s">
        <v>64</v>
      </c>
      <c r="C103" s="28">
        <v>45</v>
      </c>
      <c r="D103" s="29" t="s">
        <v>331</v>
      </c>
      <c r="E103" s="29" t="s">
        <v>332</v>
      </c>
      <c r="F103" s="30" t="s">
        <v>267</v>
      </c>
      <c r="G103" s="31" t="e">
        <f>#REF!</f>
        <v>#REF!</v>
      </c>
    </row>
    <row r="104" ht="28" hidden="1" spans="1:7">
      <c r="A104" s="34" t="s">
        <v>335</v>
      </c>
      <c r="B104" s="35" t="s">
        <v>64</v>
      </c>
      <c r="C104" s="28">
        <v>55</v>
      </c>
      <c r="D104" s="29" t="s">
        <v>336</v>
      </c>
      <c r="E104" s="29" t="s">
        <v>332</v>
      </c>
      <c r="F104" s="30" t="s">
        <v>267</v>
      </c>
      <c r="G104" s="31" t="e">
        <f>#REF!</f>
        <v>#REF!</v>
      </c>
    </row>
    <row r="105" ht="28" hidden="1" spans="1:7">
      <c r="A105" s="34" t="s">
        <v>337</v>
      </c>
      <c r="B105" s="35" t="s">
        <v>64</v>
      </c>
      <c r="C105" s="28">
        <v>85</v>
      </c>
      <c r="D105" s="29" t="s">
        <v>336</v>
      </c>
      <c r="E105" s="29" t="s">
        <v>332</v>
      </c>
      <c r="F105" s="30" t="s">
        <v>267</v>
      </c>
      <c r="G105" s="31" t="e">
        <f>#REF!</f>
        <v>#REF!</v>
      </c>
    </row>
    <row r="106" ht="28" hidden="1" spans="1:7">
      <c r="A106" s="34" t="s">
        <v>338</v>
      </c>
      <c r="B106" s="35" t="s">
        <v>64</v>
      </c>
      <c r="C106" s="28">
        <v>116</v>
      </c>
      <c r="D106" s="29" t="s">
        <v>336</v>
      </c>
      <c r="E106" s="29" t="s">
        <v>332</v>
      </c>
      <c r="F106" s="30" t="s">
        <v>267</v>
      </c>
      <c r="G106" s="31" t="e">
        <f>#REF!</f>
        <v>#REF!</v>
      </c>
    </row>
    <row r="107" ht="28" hidden="1" spans="1:7">
      <c r="A107" s="34" t="s">
        <v>339</v>
      </c>
      <c r="B107" s="35" t="s">
        <v>64</v>
      </c>
      <c r="C107" s="28">
        <v>88</v>
      </c>
      <c r="D107" s="29" t="s">
        <v>336</v>
      </c>
      <c r="E107" s="29" t="s">
        <v>332</v>
      </c>
      <c r="F107" s="30" t="s">
        <v>267</v>
      </c>
      <c r="G107" s="31" t="e">
        <f>#REF!</f>
        <v>#REF!</v>
      </c>
    </row>
    <row r="108" ht="28" hidden="1" spans="1:7">
      <c r="A108" s="34" t="s">
        <v>340</v>
      </c>
      <c r="B108" s="35" t="s">
        <v>64</v>
      </c>
      <c r="C108" s="28">
        <v>120</v>
      </c>
      <c r="D108" s="29" t="s">
        <v>336</v>
      </c>
      <c r="E108" s="29" t="s">
        <v>332</v>
      </c>
      <c r="F108" s="30" t="s">
        <v>267</v>
      </c>
      <c r="G108" s="31" t="e">
        <f>#REF!</f>
        <v>#REF!</v>
      </c>
    </row>
    <row r="109" ht="28" hidden="1" spans="1:7">
      <c r="A109" s="34" t="s">
        <v>341</v>
      </c>
      <c r="B109" s="35" t="s">
        <v>64</v>
      </c>
      <c r="C109" s="28">
        <v>150</v>
      </c>
      <c r="D109" s="29" t="s">
        <v>336</v>
      </c>
      <c r="E109" s="29" t="s">
        <v>332</v>
      </c>
      <c r="F109" s="30" t="s">
        <v>267</v>
      </c>
      <c r="G109" s="31" t="e">
        <f>#REF!</f>
        <v>#REF!</v>
      </c>
    </row>
    <row r="110" ht="24" hidden="1" spans="1:7">
      <c r="A110" s="34" t="s">
        <v>342</v>
      </c>
      <c r="B110" s="35" t="s">
        <v>64</v>
      </c>
      <c r="C110" s="28">
        <v>36</v>
      </c>
      <c r="D110" s="29" t="s">
        <v>343</v>
      </c>
      <c r="E110" s="29" t="s">
        <v>332</v>
      </c>
      <c r="F110" s="30" t="s">
        <v>344</v>
      </c>
      <c r="G110" s="31" t="e">
        <f>#REF!</f>
        <v>#REF!</v>
      </c>
    </row>
    <row r="111" ht="24" hidden="1" spans="1:7">
      <c r="A111" s="34" t="s">
        <v>345</v>
      </c>
      <c r="B111" s="35" t="s">
        <v>64</v>
      </c>
      <c r="C111" s="28">
        <v>36</v>
      </c>
      <c r="D111" s="29" t="s">
        <v>343</v>
      </c>
      <c r="E111" s="29" t="s">
        <v>332</v>
      </c>
      <c r="F111" s="30" t="s">
        <v>346</v>
      </c>
      <c r="G111" s="31" t="e">
        <f>#REF!</f>
        <v>#REF!</v>
      </c>
    </row>
    <row r="112" ht="24" hidden="1" spans="1:7">
      <c r="A112" s="34" t="s">
        <v>347</v>
      </c>
      <c r="B112" s="35" t="s">
        <v>64</v>
      </c>
      <c r="C112" s="28">
        <v>36</v>
      </c>
      <c r="D112" s="29" t="s">
        <v>343</v>
      </c>
      <c r="E112" s="29" t="s">
        <v>332</v>
      </c>
      <c r="F112" s="30" t="s">
        <v>344</v>
      </c>
      <c r="G112" s="31" t="e">
        <f>#REF!</f>
        <v>#REF!</v>
      </c>
    </row>
    <row r="113" ht="24" hidden="1" spans="1:7">
      <c r="A113" s="34" t="s">
        <v>348</v>
      </c>
      <c r="B113" s="35" t="s">
        <v>64</v>
      </c>
      <c r="C113" s="28">
        <v>36</v>
      </c>
      <c r="D113" s="29" t="s">
        <v>343</v>
      </c>
      <c r="E113" s="29" t="s">
        <v>332</v>
      </c>
      <c r="F113" s="30" t="s">
        <v>344</v>
      </c>
      <c r="G113" s="31" t="e">
        <f>#REF!</f>
        <v>#REF!</v>
      </c>
    </row>
    <row r="114" ht="36" hidden="1" spans="1:7">
      <c r="A114" s="34" t="s">
        <v>349</v>
      </c>
      <c r="B114" s="35" t="s">
        <v>92</v>
      </c>
      <c r="C114" s="28">
        <v>15</v>
      </c>
      <c r="D114" s="29" t="s">
        <v>203</v>
      </c>
      <c r="E114" s="29" t="s">
        <v>350</v>
      </c>
      <c r="F114" s="30" t="s">
        <v>351</v>
      </c>
      <c r="G114" s="31" t="e">
        <f>#REF!</f>
        <v>#REF!</v>
      </c>
    </row>
    <row r="115" ht="36" hidden="1" spans="1:7">
      <c r="A115" s="34" t="s">
        <v>352</v>
      </c>
      <c r="B115" s="35" t="s">
        <v>92</v>
      </c>
      <c r="C115" s="28">
        <v>25</v>
      </c>
      <c r="D115" s="29" t="s">
        <v>203</v>
      </c>
      <c r="E115" s="29" t="s">
        <v>350</v>
      </c>
      <c r="F115" s="30" t="s">
        <v>351</v>
      </c>
      <c r="G115" s="31" t="e">
        <f>#REF!</f>
        <v>#REF!</v>
      </c>
    </row>
    <row r="116" ht="48" hidden="1" spans="1:7">
      <c r="A116" s="34" t="s">
        <v>353</v>
      </c>
      <c r="B116" s="35" t="s">
        <v>64</v>
      </c>
      <c r="C116" s="28">
        <v>75</v>
      </c>
      <c r="D116" s="29" t="s">
        <v>331</v>
      </c>
      <c r="E116" s="29" t="s">
        <v>310</v>
      </c>
      <c r="F116" s="30" t="s">
        <v>316</v>
      </c>
      <c r="G116" s="31" t="e">
        <f>#REF!</f>
        <v>#REF!</v>
      </c>
    </row>
    <row r="117" ht="48" hidden="1" spans="1:7">
      <c r="A117" s="34" t="s">
        <v>354</v>
      </c>
      <c r="B117" s="35" t="s">
        <v>64</v>
      </c>
      <c r="C117" s="28">
        <v>80</v>
      </c>
      <c r="D117" s="29" t="s">
        <v>331</v>
      </c>
      <c r="E117" s="29" t="s">
        <v>310</v>
      </c>
      <c r="F117" s="30" t="s">
        <v>316</v>
      </c>
      <c r="G117" s="31" t="e">
        <f>#REF!</f>
        <v>#REF!</v>
      </c>
    </row>
    <row r="118" ht="48" hidden="1" spans="1:7">
      <c r="A118" s="34" t="s">
        <v>355</v>
      </c>
      <c r="B118" s="35" t="s">
        <v>64</v>
      </c>
      <c r="C118" s="28">
        <v>90</v>
      </c>
      <c r="D118" s="29" t="s">
        <v>331</v>
      </c>
      <c r="E118" s="29" t="s">
        <v>310</v>
      </c>
      <c r="F118" s="30" t="s">
        <v>316</v>
      </c>
      <c r="G118" s="31" t="e">
        <f>#REF!</f>
        <v>#REF!</v>
      </c>
    </row>
    <row r="119" ht="48" hidden="1" spans="1:7">
      <c r="A119" s="34" t="s">
        <v>356</v>
      </c>
      <c r="B119" s="35" t="s">
        <v>64</v>
      </c>
      <c r="C119" s="28">
        <v>120</v>
      </c>
      <c r="D119" s="29" t="s">
        <v>331</v>
      </c>
      <c r="E119" s="29" t="s">
        <v>310</v>
      </c>
      <c r="F119" s="30" t="s">
        <v>316</v>
      </c>
      <c r="G119" s="31" t="e">
        <f>#REF!</f>
        <v>#REF!</v>
      </c>
    </row>
    <row r="120" ht="48" hidden="1" spans="1:7">
      <c r="A120" s="34" t="s">
        <v>357</v>
      </c>
      <c r="B120" s="35" t="s">
        <v>64</v>
      </c>
      <c r="C120" s="28">
        <v>90</v>
      </c>
      <c r="D120" s="29" t="s">
        <v>331</v>
      </c>
      <c r="E120" s="29" t="s">
        <v>310</v>
      </c>
      <c r="F120" s="30" t="s">
        <v>316</v>
      </c>
      <c r="G120" s="31" t="e">
        <f>#REF!</f>
        <v>#REF!</v>
      </c>
    </row>
    <row r="121" ht="48" hidden="1" spans="1:7">
      <c r="A121" s="34" t="s">
        <v>358</v>
      </c>
      <c r="B121" s="35" t="s">
        <v>64</v>
      </c>
      <c r="C121" s="28">
        <v>90</v>
      </c>
      <c r="D121" s="29" t="s">
        <v>331</v>
      </c>
      <c r="E121" s="29" t="s">
        <v>310</v>
      </c>
      <c r="F121" s="30" t="s">
        <v>316</v>
      </c>
      <c r="G121" s="31" t="e">
        <f>#REF!</f>
        <v>#REF!</v>
      </c>
    </row>
    <row r="122" ht="48" hidden="1" spans="1:7">
      <c r="A122" s="34" t="s">
        <v>359</v>
      </c>
      <c r="B122" s="35" t="s">
        <v>64</v>
      </c>
      <c r="C122" s="28">
        <v>95</v>
      </c>
      <c r="D122" s="29" t="s">
        <v>331</v>
      </c>
      <c r="E122" s="29" t="s">
        <v>310</v>
      </c>
      <c r="F122" s="30" t="s">
        <v>316</v>
      </c>
      <c r="G122" s="31" t="e">
        <f>#REF!</f>
        <v>#REF!</v>
      </c>
    </row>
    <row r="123" ht="36" hidden="1" spans="1:7">
      <c r="A123" s="34" t="s">
        <v>360</v>
      </c>
      <c r="B123" s="35" t="s">
        <v>64</v>
      </c>
      <c r="C123" s="28">
        <v>75</v>
      </c>
      <c r="D123" s="29" t="s">
        <v>331</v>
      </c>
      <c r="E123" s="29" t="s">
        <v>318</v>
      </c>
      <c r="F123" s="30" t="s">
        <v>319</v>
      </c>
      <c r="G123" s="31" t="e">
        <f>#REF!</f>
        <v>#REF!</v>
      </c>
    </row>
    <row r="124" ht="36" hidden="1" spans="1:7">
      <c r="A124" s="34" t="s">
        <v>361</v>
      </c>
      <c r="B124" s="35" t="s">
        <v>64</v>
      </c>
      <c r="C124" s="28">
        <v>90</v>
      </c>
      <c r="D124" s="29" t="s">
        <v>331</v>
      </c>
      <c r="E124" s="29" t="s">
        <v>318</v>
      </c>
      <c r="F124" s="30" t="s">
        <v>319</v>
      </c>
      <c r="G124" s="31" t="e">
        <f>#REF!</f>
        <v>#REF!</v>
      </c>
    </row>
    <row r="125" ht="36" hidden="1" spans="1:7">
      <c r="A125" s="34" t="s">
        <v>362</v>
      </c>
      <c r="B125" s="35" t="s">
        <v>64</v>
      </c>
      <c r="C125" s="28">
        <v>145</v>
      </c>
      <c r="D125" s="29" t="s">
        <v>331</v>
      </c>
      <c r="E125" s="29" t="s">
        <v>318</v>
      </c>
      <c r="F125" s="30" t="s">
        <v>319</v>
      </c>
      <c r="G125" s="31" t="e">
        <f>#REF!</f>
        <v>#REF!</v>
      </c>
    </row>
    <row r="126" hidden="1" spans="1:7">
      <c r="A126" s="34" t="s">
        <v>363</v>
      </c>
      <c r="B126" s="35" t="s">
        <v>92</v>
      </c>
      <c r="C126" s="28">
        <v>40</v>
      </c>
      <c r="D126" s="29" t="s">
        <v>203</v>
      </c>
      <c r="E126" s="29" t="s">
        <v>364</v>
      </c>
      <c r="F126" s="30" t="s">
        <v>365</v>
      </c>
      <c r="G126" s="31" t="e">
        <f>#REF!</f>
        <v>#REF!</v>
      </c>
    </row>
    <row r="127" ht="28" hidden="1" spans="1:7">
      <c r="A127" s="34" t="s">
        <v>366</v>
      </c>
      <c r="B127" s="35" t="s">
        <v>92</v>
      </c>
      <c r="C127" s="28">
        <v>50</v>
      </c>
      <c r="D127" s="29" t="s">
        <v>203</v>
      </c>
      <c r="E127" s="29" t="s">
        <v>364</v>
      </c>
      <c r="F127" s="30" t="s">
        <v>365</v>
      </c>
      <c r="G127" s="31" t="e">
        <f>#REF!</f>
        <v>#REF!</v>
      </c>
    </row>
    <row r="128" ht="28" hidden="1" spans="1:7">
      <c r="A128" s="34" t="s">
        <v>367</v>
      </c>
      <c r="B128" s="35" t="s">
        <v>92</v>
      </c>
      <c r="C128" s="28">
        <v>100</v>
      </c>
      <c r="D128" s="29" t="s">
        <v>203</v>
      </c>
      <c r="E128" s="29" t="s">
        <v>364</v>
      </c>
      <c r="F128" s="30" t="s">
        <v>365</v>
      </c>
      <c r="G128" s="31" t="e">
        <f>#REF!</f>
        <v>#REF!</v>
      </c>
    </row>
    <row r="129" ht="28" hidden="1" spans="1:7">
      <c r="A129" s="39" t="s">
        <v>368</v>
      </c>
      <c r="B129" s="35" t="s">
        <v>92</v>
      </c>
      <c r="C129" s="28">
        <v>980</v>
      </c>
      <c r="D129" s="29" t="s">
        <v>369</v>
      </c>
      <c r="E129" s="29" t="s">
        <v>370</v>
      </c>
      <c r="F129" s="30" t="s">
        <v>371</v>
      </c>
      <c r="G129" s="31" t="e">
        <f>#REF!</f>
        <v>#REF!</v>
      </c>
    </row>
    <row r="130" ht="28" hidden="1" spans="1:7">
      <c r="A130" s="39" t="s">
        <v>372</v>
      </c>
      <c r="B130" s="35" t="s">
        <v>92</v>
      </c>
      <c r="C130" s="28">
        <v>1580</v>
      </c>
      <c r="D130" s="29" t="s">
        <v>369</v>
      </c>
      <c r="E130" s="29" t="s">
        <v>373</v>
      </c>
      <c r="F130" s="30" t="s">
        <v>371</v>
      </c>
      <c r="G130" s="31" t="e">
        <f>#REF!</f>
        <v>#REF!</v>
      </c>
    </row>
    <row r="131" ht="36" hidden="1" spans="1:7">
      <c r="A131" s="40" t="s">
        <v>374</v>
      </c>
      <c r="B131" s="35" t="s">
        <v>22</v>
      </c>
      <c r="C131" s="28">
        <v>70</v>
      </c>
      <c r="D131" s="29" t="s">
        <v>221</v>
      </c>
      <c r="E131" s="29" t="s">
        <v>375</v>
      </c>
      <c r="F131" s="30" t="s">
        <v>376</v>
      </c>
      <c r="G131" s="31" t="e">
        <f>#REF!</f>
        <v>#REF!</v>
      </c>
    </row>
    <row r="132" ht="36" hidden="1" spans="1:7">
      <c r="A132" s="40" t="s">
        <v>37</v>
      </c>
      <c r="B132" s="41" t="s">
        <v>377</v>
      </c>
      <c r="C132" s="28">
        <v>780</v>
      </c>
      <c r="D132" s="29" t="s">
        <v>378</v>
      </c>
      <c r="E132" s="29" t="s">
        <v>379</v>
      </c>
      <c r="F132" s="30" t="s">
        <v>380</v>
      </c>
      <c r="G132" s="31" t="e">
        <f>#REF!</f>
        <v>#REF!</v>
      </c>
    </row>
    <row r="133" ht="36" hidden="1" spans="1:7">
      <c r="A133" s="40" t="s">
        <v>381</v>
      </c>
      <c r="B133" s="41" t="s">
        <v>22</v>
      </c>
      <c r="C133" s="28">
        <v>150</v>
      </c>
      <c r="D133" s="29" t="s">
        <v>382</v>
      </c>
      <c r="E133" s="29" t="s">
        <v>379</v>
      </c>
      <c r="F133" s="30" t="s">
        <v>380</v>
      </c>
      <c r="G133" s="31" t="e">
        <f>#REF!</f>
        <v>#REF!</v>
      </c>
    </row>
    <row r="134" ht="70" hidden="1" spans="1:7">
      <c r="A134" s="40" t="s">
        <v>38</v>
      </c>
      <c r="B134" s="41" t="s">
        <v>22</v>
      </c>
      <c r="C134" s="28">
        <v>70</v>
      </c>
      <c r="D134" s="29" t="s">
        <v>383</v>
      </c>
      <c r="E134" s="29" t="s">
        <v>384</v>
      </c>
      <c r="F134" s="30" t="s">
        <v>385</v>
      </c>
      <c r="G134" s="31" t="e">
        <f>#REF!</f>
        <v>#REF!</v>
      </c>
    </row>
    <row r="135" ht="144" hidden="1" spans="1:7">
      <c r="A135" s="34" t="s">
        <v>70</v>
      </c>
      <c r="B135" s="35" t="s">
        <v>22</v>
      </c>
      <c r="C135" s="28">
        <v>65</v>
      </c>
      <c r="D135" s="29" t="s">
        <v>221</v>
      </c>
      <c r="E135" s="29" t="s">
        <v>386</v>
      </c>
      <c r="F135" s="30" t="s">
        <v>387</v>
      </c>
      <c r="G135" s="31" t="e">
        <f>#REF!</f>
        <v>#REF!</v>
      </c>
    </row>
    <row r="136" ht="144" hidden="1" spans="1:7">
      <c r="A136" s="34" t="s">
        <v>388</v>
      </c>
      <c r="B136" s="35" t="s">
        <v>22</v>
      </c>
      <c r="C136" s="28">
        <v>65</v>
      </c>
      <c r="D136" s="29" t="s">
        <v>221</v>
      </c>
      <c r="E136" s="29" t="s">
        <v>389</v>
      </c>
      <c r="F136" s="30" t="s">
        <v>387</v>
      </c>
      <c r="G136" s="31" t="e">
        <f>#REF!</f>
        <v>#REF!</v>
      </c>
    </row>
    <row r="137" ht="144" hidden="1" spans="1:7">
      <c r="A137" s="34" t="s">
        <v>390</v>
      </c>
      <c r="B137" s="35" t="s">
        <v>22</v>
      </c>
      <c r="C137" s="28">
        <v>65</v>
      </c>
      <c r="D137" s="29" t="s">
        <v>221</v>
      </c>
      <c r="E137" s="29" t="s">
        <v>391</v>
      </c>
      <c r="F137" s="30" t="s">
        <v>387</v>
      </c>
      <c r="G137" s="31" t="e">
        <f>#REF!</f>
        <v>#REF!</v>
      </c>
    </row>
    <row r="138" ht="144" hidden="1" spans="1:7">
      <c r="A138" s="34" t="s">
        <v>392</v>
      </c>
      <c r="B138" s="35" t="s">
        <v>22</v>
      </c>
      <c r="C138" s="28">
        <v>65</v>
      </c>
      <c r="D138" s="29" t="s">
        <v>221</v>
      </c>
      <c r="E138" s="29" t="s">
        <v>393</v>
      </c>
      <c r="F138" s="30" t="s">
        <v>387</v>
      </c>
      <c r="G138" s="31" t="e">
        <f>#REF!</f>
        <v>#REF!</v>
      </c>
    </row>
    <row r="139" ht="48" hidden="1" spans="1:7">
      <c r="A139" s="34" t="s">
        <v>394</v>
      </c>
      <c r="B139" s="35" t="s">
        <v>22</v>
      </c>
      <c r="C139" s="28">
        <v>40</v>
      </c>
      <c r="D139" s="29" t="s">
        <v>221</v>
      </c>
      <c r="E139" s="29" t="s">
        <v>395</v>
      </c>
      <c r="F139" s="30" t="s">
        <v>396</v>
      </c>
      <c r="G139" s="31" t="e">
        <f>#REF!</f>
        <v>#REF!</v>
      </c>
    </row>
    <row r="140" ht="56" hidden="1" spans="1:7">
      <c r="A140" s="34" t="s">
        <v>397</v>
      </c>
      <c r="B140" s="35" t="s">
        <v>22</v>
      </c>
      <c r="C140" s="28">
        <v>368</v>
      </c>
      <c r="D140" s="29" t="s">
        <v>221</v>
      </c>
      <c r="E140" s="29" t="s">
        <v>398</v>
      </c>
      <c r="F140" s="30" t="s">
        <v>399</v>
      </c>
      <c r="G140" s="31" t="e">
        <f>#REF!</f>
        <v>#REF!</v>
      </c>
    </row>
    <row r="141" ht="42" hidden="1" spans="1:7">
      <c r="A141" s="34" t="s">
        <v>400</v>
      </c>
      <c r="B141" s="35" t="s">
        <v>22</v>
      </c>
      <c r="C141" s="28">
        <v>520</v>
      </c>
      <c r="D141" s="29" t="s">
        <v>221</v>
      </c>
      <c r="E141" s="29" t="s">
        <v>401</v>
      </c>
      <c r="F141" s="30" t="s">
        <v>402</v>
      </c>
      <c r="G141" s="31" t="e">
        <f>#REF!</f>
        <v>#REF!</v>
      </c>
    </row>
    <row r="142" ht="24" hidden="1" spans="1:7">
      <c r="A142" s="34" t="s">
        <v>71</v>
      </c>
      <c r="B142" s="35" t="s">
        <v>22</v>
      </c>
      <c r="C142" s="28">
        <v>45</v>
      </c>
      <c r="D142" s="29" t="s">
        <v>221</v>
      </c>
      <c r="E142" s="29" t="s">
        <v>403</v>
      </c>
      <c r="F142" s="30" t="s">
        <v>404</v>
      </c>
      <c r="G142" s="31" t="e">
        <f>#REF!</f>
        <v>#REF!</v>
      </c>
    </row>
    <row r="143" ht="24" hidden="1" spans="1:7">
      <c r="A143" s="34" t="s">
        <v>405</v>
      </c>
      <c r="B143" s="35" t="s">
        <v>22</v>
      </c>
      <c r="C143" s="28">
        <v>65</v>
      </c>
      <c r="D143" s="29" t="s">
        <v>221</v>
      </c>
      <c r="E143" s="29" t="s">
        <v>406</v>
      </c>
      <c r="F143" s="30" t="s">
        <v>407</v>
      </c>
      <c r="G143" s="31" t="e">
        <f>#REF!</f>
        <v>#REF!</v>
      </c>
    </row>
    <row r="144" ht="36" hidden="1" spans="1:7">
      <c r="A144" s="34" t="s">
        <v>408</v>
      </c>
      <c r="B144" s="35" t="s">
        <v>22</v>
      </c>
      <c r="C144" s="28">
        <v>65</v>
      </c>
      <c r="D144" s="29" t="s">
        <v>221</v>
      </c>
      <c r="E144" s="29" t="s">
        <v>409</v>
      </c>
      <c r="F144" s="30" t="s">
        <v>410</v>
      </c>
      <c r="G144" s="31" t="e">
        <f>#REF!</f>
        <v>#REF!</v>
      </c>
    </row>
    <row r="145" ht="96" hidden="1" spans="1:7">
      <c r="A145" s="34" t="s">
        <v>60</v>
      </c>
      <c r="B145" s="35" t="s">
        <v>22</v>
      </c>
      <c r="C145" s="28">
        <v>190</v>
      </c>
      <c r="D145" s="29" t="s">
        <v>62</v>
      </c>
      <c r="E145" s="29" t="s">
        <v>411</v>
      </c>
      <c r="F145" s="30" t="s">
        <v>412</v>
      </c>
      <c r="G145" s="31" t="e">
        <f>#REF!</f>
        <v>#REF!</v>
      </c>
    </row>
    <row r="146" ht="96" hidden="1" spans="1:7">
      <c r="A146" s="34" t="s">
        <v>75</v>
      </c>
      <c r="B146" s="35" t="s">
        <v>22</v>
      </c>
      <c r="C146" s="28">
        <v>210</v>
      </c>
      <c r="D146" s="29" t="s">
        <v>62</v>
      </c>
      <c r="E146" s="29" t="s">
        <v>411</v>
      </c>
      <c r="F146" s="30" t="s">
        <v>413</v>
      </c>
      <c r="G146" s="31" t="e">
        <f>#REF!</f>
        <v>#REF!</v>
      </c>
    </row>
    <row r="147" ht="96" hidden="1" spans="1:7">
      <c r="A147" s="34" t="s">
        <v>414</v>
      </c>
      <c r="B147" s="35" t="s">
        <v>22</v>
      </c>
      <c r="C147" s="28">
        <v>235</v>
      </c>
      <c r="D147" s="29" t="s">
        <v>62</v>
      </c>
      <c r="E147" s="29" t="s">
        <v>415</v>
      </c>
      <c r="F147" s="30" t="s">
        <v>412</v>
      </c>
      <c r="G147" s="31" t="e">
        <f>#REF!</f>
        <v>#REF!</v>
      </c>
    </row>
    <row r="148" ht="96" hidden="1" spans="1:7">
      <c r="A148" s="34" t="s">
        <v>416</v>
      </c>
      <c r="B148" s="35" t="s">
        <v>22</v>
      </c>
      <c r="C148" s="28">
        <v>258</v>
      </c>
      <c r="D148" s="29" t="s">
        <v>62</v>
      </c>
      <c r="E148" s="29" t="s">
        <v>415</v>
      </c>
      <c r="F148" s="30" t="s">
        <v>417</v>
      </c>
      <c r="G148" s="31" t="e">
        <f>#REF!</f>
        <v>#REF!</v>
      </c>
    </row>
    <row r="149" ht="96" hidden="1" spans="1:7">
      <c r="A149" s="34" t="s">
        <v>418</v>
      </c>
      <c r="B149" s="42" t="s">
        <v>22</v>
      </c>
      <c r="C149" s="28">
        <v>318</v>
      </c>
      <c r="D149" s="29" t="s">
        <v>62</v>
      </c>
      <c r="E149" s="29" t="s">
        <v>419</v>
      </c>
      <c r="F149" s="30" t="s">
        <v>420</v>
      </c>
      <c r="G149" s="31" t="e">
        <f>#REF!</f>
        <v>#REF!</v>
      </c>
    </row>
    <row r="150" ht="96" hidden="1" spans="1:7">
      <c r="A150" s="34" t="s">
        <v>421</v>
      </c>
      <c r="B150" s="42" t="s">
        <v>22</v>
      </c>
      <c r="C150" s="28">
        <v>298</v>
      </c>
      <c r="D150" s="29" t="s">
        <v>62</v>
      </c>
      <c r="E150" s="29" t="s">
        <v>419</v>
      </c>
      <c r="F150" s="30" t="s">
        <v>422</v>
      </c>
      <c r="G150" s="31" t="e">
        <f>#REF!</f>
        <v>#REF!</v>
      </c>
    </row>
    <row r="151" ht="96" hidden="1" spans="1:7">
      <c r="A151" s="34" t="s">
        <v>423</v>
      </c>
      <c r="B151" s="42" t="s">
        <v>22</v>
      </c>
      <c r="C151" s="28">
        <v>325</v>
      </c>
      <c r="D151" s="29" t="s">
        <v>62</v>
      </c>
      <c r="E151" s="29" t="s">
        <v>419</v>
      </c>
      <c r="F151" s="30" t="s">
        <v>422</v>
      </c>
      <c r="G151" s="31" t="e">
        <f>#REF!</f>
        <v>#REF!</v>
      </c>
    </row>
    <row r="152" ht="96" hidden="1" spans="1:7">
      <c r="A152" s="34" t="s">
        <v>48</v>
      </c>
      <c r="B152" s="35" t="s">
        <v>22</v>
      </c>
      <c r="C152" s="28">
        <v>210</v>
      </c>
      <c r="D152" s="29" t="s">
        <v>62</v>
      </c>
      <c r="E152" s="29" t="s">
        <v>411</v>
      </c>
      <c r="F152" s="30" t="s">
        <v>412</v>
      </c>
      <c r="G152" s="31" t="e">
        <f>#REF!</f>
        <v>#REF!</v>
      </c>
    </row>
    <row r="153" ht="96" hidden="1" spans="1:7">
      <c r="A153" s="34" t="s">
        <v>424</v>
      </c>
      <c r="B153" s="35" t="s">
        <v>22</v>
      </c>
      <c r="C153" s="28">
        <v>235</v>
      </c>
      <c r="D153" s="29" t="s">
        <v>62</v>
      </c>
      <c r="E153" s="29" t="s">
        <v>411</v>
      </c>
      <c r="F153" s="30" t="s">
        <v>413</v>
      </c>
      <c r="G153" s="31" t="e">
        <f>#REF!</f>
        <v>#REF!</v>
      </c>
    </row>
    <row r="154" ht="96" hidden="1" spans="1:7">
      <c r="A154" s="34" t="s">
        <v>425</v>
      </c>
      <c r="B154" s="35" t="s">
        <v>22</v>
      </c>
      <c r="C154" s="28">
        <v>235</v>
      </c>
      <c r="D154" s="29" t="s">
        <v>62</v>
      </c>
      <c r="E154" s="29" t="s">
        <v>411</v>
      </c>
      <c r="F154" s="30" t="s">
        <v>426</v>
      </c>
      <c r="G154" s="31" t="e">
        <f>#REF!</f>
        <v>#REF!</v>
      </c>
    </row>
    <row r="155" ht="96" hidden="1" spans="1:7">
      <c r="A155" s="34" t="s">
        <v>427</v>
      </c>
      <c r="B155" s="35" t="s">
        <v>22</v>
      </c>
      <c r="C155" s="28">
        <v>258</v>
      </c>
      <c r="D155" s="29" t="s">
        <v>62</v>
      </c>
      <c r="E155" s="29" t="s">
        <v>415</v>
      </c>
      <c r="F155" s="30" t="s">
        <v>412</v>
      </c>
      <c r="G155" s="31" t="e">
        <f>#REF!</f>
        <v>#REF!</v>
      </c>
    </row>
    <row r="156" ht="96" hidden="1" spans="1:7">
      <c r="A156" s="34" t="s">
        <v>428</v>
      </c>
      <c r="B156" s="35" t="s">
        <v>22</v>
      </c>
      <c r="C156" s="28">
        <v>298</v>
      </c>
      <c r="D156" s="29" t="s">
        <v>62</v>
      </c>
      <c r="E156" s="29" t="s">
        <v>415</v>
      </c>
      <c r="F156" s="30" t="s">
        <v>413</v>
      </c>
      <c r="G156" s="31" t="e">
        <f>#REF!</f>
        <v>#REF!</v>
      </c>
    </row>
    <row r="157" ht="96" hidden="1" spans="1:7">
      <c r="A157" s="34" t="s">
        <v>429</v>
      </c>
      <c r="B157" s="35" t="s">
        <v>22</v>
      </c>
      <c r="C157" s="28">
        <v>348</v>
      </c>
      <c r="D157" s="29" t="s">
        <v>62</v>
      </c>
      <c r="E157" s="29" t="s">
        <v>430</v>
      </c>
      <c r="F157" s="30" t="s">
        <v>431</v>
      </c>
      <c r="G157" s="31" t="e">
        <f>#REF!</f>
        <v>#REF!</v>
      </c>
    </row>
    <row r="158" ht="96" hidden="1" spans="1:7">
      <c r="A158" s="34" t="s">
        <v>432</v>
      </c>
      <c r="B158" s="35" t="s">
        <v>22</v>
      </c>
      <c r="C158" s="28">
        <v>220</v>
      </c>
      <c r="D158" s="29" t="s">
        <v>62</v>
      </c>
      <c r="E158" s="29" t="s">
        <v>411</v>
      </c>
      <c r="F158" s="30" t="s">
        <v>433</v>
      </c>
      <c r="G158" s="31" t="e">
        <f>#REF!</f>
        <v>#REF!</v>
      </c>
    </row>
    <row r="159" ht="96" hidden="1" spans="1:7">
      <c r="A159" s="34" t="s">
        <v>434</v>
      </c>
      <c r="B159" s="35" t="s">
        <v>22</v>
      </c>
      <c r="C159" s="28">
        <v>278</v>
      </c>
      <c r="D159" s="29" t="s">
        <v>435</v>
      </c>
      <c r="E159" s="29" t="s">
        <v>415</v>
      </c>
      <c r="F159" s="30" t="s">
        <v>412</v>
      </c>
      <c r="G159" s="31" t="e">
        <f>#REF!</f>
        <v>#REF!</v>
      </c>
    </row>
    <row r="160" ht="96" hidden="1" spans="1:7">
      <c r="A160" s="34" t="s">
        <v>436</v>
      </c>
      <c r="B160" s="35" t="s">
        <v>22</v>
      </c>
      <c r="C160" s="28">
        <v>368</v>
      </c>
      <c r="D160" s="29" t="s">
        <v>62</v>
      </c>
      <c r="E160" s="29" t="s">
        <v>430</v>
      </c>
      <c r="F160" s="30" t="s">
        <v>431</v>
      </c>
      <c r="G160" s="31" t="e">
        <f>#REF!</f>
        <v>#REF!</v>
      </c>
    </row>
    <row r="161" ht="96" hidden="1" spans="1:7">
      <c r="A161" s="34" t="s">
        <v>437</v>
      </c>
      <c r="B161" s="35" t="s">
        <v>22</v>
      </c>
      <c r="C161" s="28">
        <v>325</v>
      </c>
      <c r="D161" s="29" t="s">
        <v>438</v>
      </c>
      <c r="E161" s="29" t="s">
        <v>415</v>
      </c>
      <c r="F161" s="30" t="s">
        <v>412</v>
      </c>
      <c r="G161" s="31" t="e">
        <f>#REF!</f>
        <v>#REF!</v>
      </c>
    </row>
    <row r="162" ht="96" hidden="1" spans="1:7">
      <c r="A162" s="34" t="s">
        <v>439</v>
      </c>
      <c r="B162" s="35" t="s">
        <v>22</v>
      </c>
      <c r="C162" s="28">
        <v>368</v>
      </c>
      <c r="D162" s="29" t="s">
        <v>62</v>
      </c>
      <c r="E162" s="29" t="s">
        <v>415</v>
      </c>
      <c r="F162" s="30" t="s">
        <v>412</v>
      </c>
      <c r="G162" s="31" t="e">
        <f>#REF!</f>
        <v>#REF!</v>
      </c>
    </row>
    <row r="163" ht="96" hidden="1" spans="1:7">
      <c r="A163" s="34" t="s">
        <v>440</v>
      </c>
      <c r="B163" s="35" t="s">
        <v>22</v>
      </c>
      <c r="C163" s="28">
        <v>425</v>
      </c>
      <c r="D163" s="29" t="s">
        <v>62</v>
      </c>
      <c r="E163" s="29" t="s">
        <v>430</v>
      </c>
      <c r="F163" s="30" t="s">
        <v>431</v>
      </c>
      <c r="G163" s="31" t="e">
        <f>#REF!</f>
        <v>#REF!</v>
      </c>
    </row>
    <row r="164" ht="60" hidden="1" spans="1:7">
      <c r="A164" s="34" t="s">
        <v>441</v>
      </c>
      <c r="B164" s="42" t="s">
        <v>64</v>
      </c>
      <c r="C164" s="28">
        <v>95</v>
      </c>
      <c r="D164" s="29" t="s">
        <v>343</v>
      </c>
      <c r="E164" s="29" t="s">
        <v>442</v>
      </c>
      <c r="F164" s="30" t="s">
        <v>443</v>
      </c>
      <c r="G164" s="31" t="e">
        <f>#REF!</f>
        <v>#REF!</v>
      </c>
    </row>
    <row r="165" ht="48" hidden="1" spans="1:7">
      <c r="A165" s="34" t="s">
        <v>50</v>
      </c>
      <c r="B165" s="42" t="s">
        <v>64</v>
      </c>
      <c r="C165" s="28">
        <v>145</v>
      </c>
      <c r="D165" s="29" t="s">
        <v>343</v>
      </c>
      <c r="E165" s="29" t="s">
        <v>444</v>
      </c>
      <c r="F165" s="30" t="s">
        <v>445</v>
      </c>
      <c r="G165" s="31" t="e">
        <f>#REF!</f>
        <v>#REF!</v>
      </c>
    </row>
    <row r="166" ht="48" hidden="1" spans="1:7">
      <c r="A166" s="34" t="s">
        <v>446</v>
      </c>
      <c r="B166" s="42" t="s">
        <v>64</v>
      </c>
      <c r="C166" s="28">
        <v>235</v>
      </c>
      <c r="D166" s="29" t="s">
        <v>343</v>
      </c>
      <c r="E166" s="29" t="s">
        <v>444</v>
      </c>
      <c r="F166" s="30" t="s">
        <v>445</v>
      </c>
      <c r="G166" s="31" t="e">
        <f>#REF!</f>
        <v>#REF!</v>
      </c>
    </row>
    <row r="167" ht="48" hidden="1" spans="1:7">
      <c r="A167" s="34" t="s">
        <v>447</v>
      </c>
      <c r="B167" s="42" t="s">
        <v>64</v>
      </c>
      <c r="C167" s="28">
        <v>280</v>
      </c>
      <c r="D167" s="29" t="s">
        <v>343</v>
      </c>
      <c r="E167" s="29" t="s">
        <v>444</v>
      </c>
      <c r="F167" s="30" t="s">
        <v>445</v>
      </c>
      <c r="G167" s="31" t="e">
        <f>#REF!</f>
        <v>#REF!</v>
      </c>
    </row>
    <row r="168" ht="84" hidden="1" spans="1:7">
      <c r="A168" s="34" t="s">
        <v>49</v>
      </c>
      <c r="B168" s="35" t="s">
        <v>64</v>
      </c>
      <c r="C168" s="28">
        <v>65</v>
      </c>
      <c r="D168" s="29" t="s">
        <v>448</v>
      </c>
      <c r="E168" s="29" t="s">
        <v>449</v>
      </c>
      <c r="F168" s="30" t="s">
        <v>450</v>
      </c>
      <c r="G168" s="31" t="e">
        <f>#REF!</f>
        <v>#REF!</v>
      </c>
    </row>
    <row r="169" ht="60" hidden="1" spans="1:7">
      <c r="A169" s="34" t="s">
        <v>451</v>
      </c>
      <c r="B169" s="35" t="s">
        <v>92</v>
      </c>
      <c r="C169" s="28">
        <v>180</v>
      </c>
      <c r="D169" s="29" t="s">
        <v>203</v>
      </c>
      <c r="E169" s="29" t="s">
        <v>452</v>
      </c>
      <c r="F169" s="30" t="s">
        <v>453</v>
      </c>
      <c r="G169" s="31" t="e">
        <f>#REF!</f>
        <v>#REF!</v>
      </c>
    </row>
    <row r="170" ht="24" hidden="1" spans="1:7">
      <c r="A170" s="43" t="s">
        <v>454</v>
      </c>
      <c r="B170" s="42" t="s">
        <v>92</v>
      </c>
      <c r="C170" s="28">
        <v>7</v>
      </c>
      <c r="D170" s="29" t="s">
        <v>203</v>
      </c>
      <c r="E170" s="29" t="s">
        <v>455</v>
      </c>
      <c r="F170" s="30" t="s">
        <v>456</v>
      </c>
      <c r="G170" s="31" t="e">
        <f>#REF!</f>
        <v>#REF!</v>
      </c>
    </row>
    <row r="171" ht="42" hidden="1" spans="1:7">
      <c r="A171" s="43" t="s">
        <v>51</v>
      </c>
      <c r="B171" s="42" t="s">
        <v>64</v>
      </c>
      <c r="C171" s="28">
        <v>50</v>
      </c>
      <c r="D171" s="29" t="s">
        <v>457</v>
      </c>
      <c r="E171" s="29" t="s">
        <v>458</v>
      </c>
      <c r="F171" s="30" t="s">
        <v>459</v>
      </c>
      <c r="G171" s="31" t="e">
        <f>#REF!</f>
        <v>#REF!</v>
      </c>
    </row>
    <row r="172" ht="36" hidden="1" spans="1:7">
      <c r="A172" s="43" t="s">
        <v>76</v>
      </c>
      <c r="B172" s="42" t="s">
        <v>92</v>
      </c>
      <c r="C172" s="28">
        <v>120</v>
      </c>
      <c r="D172" s="29" t="s">
        <v>203</v>
      </c>
      <c r="E172" s="29" t="s">
        <v>458</v>
      </c>
      <c r="F172" s="30" t="s">
        <v>459</v>
      </c>
      <c r="G172" s="31" t="e">
        <f>#REF!</f>
        <v>#REF!</v>
      </c>
    </row>
    <row r="173" ht="84" hidden="1" spans="1:7">
      <c r="A173" s="43" t="s">
        <v>460</v>
      </c>
      <c r="B173" s="42" t="s">
        <v>92</v>
      </c>
      <c r="C173" s="28">
        <v>248</v>
      </c>
      <c r="D173" s="29" t="s">
        <v>461</v>
      </c>
      <c r="E173" s="29" t="s">
        <v>462</v>
      </c>
      <c r="F173" s="30" t="s">
        <v>463</v>
      </c>
      <c r="G173" s="31" t="e">
        <f>#REF!</f>
        <v>#REF!</v>
      </c>
    </row>
    <row r="174" ht="84" hidden="1" spans="1:7">
      <c r="A174" s="43" t="s">
        <v>464</v>
      </c>
      <c r="B174" s="42" t="s">
        <v>92</v>
      </c>
      <c r="C174" s="28">
        <v>298</v>
      </c>
      <c r="D174" s="29" t="s">
        <v>461</v>
      </c>
      <c r="E174" s="29" t="s">
        <v>465</v>
      </c>
      <c r="F174" s="30" t="s">
        <v>463</v>
      </c>
      <c r="G174" s="31" t="e">
        <f>#REF!</f>
        <v>#REF!</v>
      </c>
    </row>
    <row r="175" ht="48" hidden="1" spans="1:7">
      <c r="A175" s="34" t="s">
        <v>466</v>
      </c>
      <c r="B175" s="35" t="s">
        <v>64</v>
      </c>
      <c r="C175" s="28">
        <v>99</v>
      </c>
      <c r="D175" s="29" t="s">
        <v>343</v>
      </c>
      <c r="E175" s="29" t="s">
        <v>467</v>
      </c>
      <c r="F175" s="30" t="s">
        <v>445</v>
      </c>
      <c r="G175" s="31" t="e">
        <f>#REF!</f>
        <v>#REF!</v>
      </c>
    </row>
    <row r="176" ht="36" hidden="1" spans="1:7">
      <c r="A176" s="34" t="s">
        <v>468</v>
      </c>
      <c r="B176" s="35" t="s">
        <v>64</v>
      </c>
      <c r="C176" s="28">
        <v>325</v>
      </c>
      <c r="D176" s="29" t="s">
        <v>343</v>
      </c>
      <c r="E176" s="29" t="s">
        <v>469</v>
      </c>
      <c r="F176" s="30" t="s">
        <v>470</v>
      </c>
      <c r="G176" s="31" t="e">
        <f>#REF!</f>
        <v>#REF!</v>
      </c>
    </row>
    <row r="177" ht="36" hidden="1" spans="1:7">
      <c r="A177" s="43" t="s">
        <v>471</v>
      </c>
      <c r="B177" s="42" t="s">
        <v>64</v>
      </c>
      <c r="C177" s="28">
        <v>320</v>
      </c>
      <c r="D177" s="29" t="s">
        <v>343</v>
      </c>
      <c r="E177" s="29" t="s">
        <v>472</v>
      </c>
      <c r="F177" s="30" t="s">
        <v>470</v>
      </c>
      <c r="G177" s="31" t="e">
        <f>#REF!</f>
        <v>#REF!</v>
      </c>
    </row>
    <row r="178" ht="24" hidden="1" spans="1:7">
      <c r="A178" s="44" t="s">
        <v>31</v>
      </c>
      <c r="B178" s="42" t="s">
        <v>64</v>
      </c>
      <c r="C178" s="28">
        <v>75</v>
      </c>
      <c r="D178" s="29" t="s">
        <v>343</v>
      </c>
      <c r="E178" s="29" t="s">
        <v>473</v>
      </c>
      <c r="F178" s="30" t="s">
        <v>474</v>
      </c>
      <c r="G178" s="31" t="e">
        <f>#REF!</f>
        <v>#REF!</v>
      </c>
    </row>
    <row r="179" ht="28" hidden="1" spans="1:7">
      <c r="A179" s="44" t="s">
        <v>475</v>
      </c>
      <c r="B179" s="42" t="s">
        <v>64</v>
      </c>
      <c r="C179" s="28">
        <v>200</v>
      </c>
      <c r="D179" s="29" t="s">
        <v>476</v>
      </c>
      <c r="E179" s="29" t="s">
        <v>473</v>
      </c>
      <c r="F179" s="30" t="s">
        <v>474</v>
      </c>
      <c r="G179" s="31" t="e">
        <f>#REF!</f>
        <v>#REF!</v>
      </c>
    </row>
    <row r="180" ht="24" hidden="1" spans="1:7">
      <c r="A180" s="44" t="s">
        <v>477</v>
      </c>
      <c r="B180" s="42" t="s">
        <v>92</v>
      </c>
      <c r="C180" s="28">
        <v>300</v>
      </c>
      <c r="D180" s="29" t="s">
        <v>203</v>
      </c>
      <c r="E180" s="29" t="s">
        <v>478</v>
      </c>
      <c r="F180" s="30" t="s">
        <v>479</v>
      </c>
      <c r="G180" s="31" t="e">
        <f>#REF!</f>
        <v>#REF!</v>
      </c>
    </row>
    <row r="181" ht="60" hidden="1" spans="1:7">
      <c r="A181" s="45" t="s">
        <v>480</v>
      </c>
      <c r="B181" s="42" t="s">
        <v>22</v>
      </c>
      <c r="C181" s="28">
        <v>245</v>
      </c>
      <c r="D181" s="29" t="s">
        <v>221</v>
      </c>
      <c r="E181" s="29" t="s">
        <v>481</v>
      </c>
      <c r="F181" s="30" t="s">
        <v>482</v>
      </c>
      <c r="G181" s="31" t="e">
        <f>#REF!</f>
        <v>#REF!</v>
      </c>
    </row>
    <row r="182" ht="60" hidden="1" spans="1:7">
      <c r="A182" s="45" t="s">
        <v>483</v>
      </c>
      <c r="B182" s="42" t="s">
        <v>22</v>
      </c>
      <c r="C182" s="28">
        <v>335</v>
      </c>
      <c r="D182" s="29" t="s">
        <v>221</v>
      </c>
      <c r="E182" s="29" t="s">
        <v>481</v>
      </c>
      <c r="F182" s="30" t="s">
        <v>482</v>
      </c>
      <c r="G182" s="31" t="e">
        <f>#REF!</f>
        <v>#REF!</v>
      </c>
    </row>
    <row r="183" ht="60" hidden="1" spans="1:7">
      <c r="A183" s="45" t="s">
        <v>484</v>
      </c>
      <c r="B183" s="42" t="s">
        <v>22</v>
      </c>
      <c r="C183" s="28">
        <v>295</v>
      </c>
      <c r="D183" s="29" t="s">
        <v>485</v>
      </c>
      <c r="E183" s="29" t="s">
        <v>486</v>
      </c>
      <c r="F183" s="30" t="s">
        <v>482</v>
      </c>
      <c r="G183" s="31" t="e">
        <f>#REF!</f>
        <v>#REF!</v>
      </c>
    </row>
    <row r="184" ht="60" hidden="1" spans="1:7">
      <c r="A184" s="45" t="s">
        <v>487</v>
      </c>
      <c r="B184" s="42" t="s">
        <v>22</v>
      </c>
      <c r="C184" s="28">
        <v>385</v>
      </c>
      <c r="D184" s="29" t="s">
        <v>221</v>
      </c>
      <c r="E184" s="29" t="s">
        <v>488</v>
      </c>
      <c r="F184" s="30" t="s">
        <v>482</v>
      </c>
      <c r="G184" s="31" t="e">
        <f>#REF!</f>
        <v>#REF!</v>
      </c>
    </row>
    <row r="185" ht="60" hidden="1" spans="1:7">
      <c r="A185" s="45" t="s">
        <v>489</v>
      </c>
      <c r="B185" s="42" t="s">
        <v>22</v>
      </c>
      <c r="C185" s="28">
        <v>345</v>
      </c>
      <c r="D185" s="29" t="s">
        <v>485</v>
      </c>
      <c r="E185" s="29" t="s">
        <v>490</v>
      </c>
      <c r="F185" s="30" t="s">
        <v>482</v>
      </c>
      <c r="G185" s="31" t="e">
        <f>#REF!</f>
        <v>#REF!</v>
      </c>
    </row>
    <row r="186" ht="60" hidden="1" spans="1:7">
      <c r="A186" s="43" t="s">
        <v>491</v>
      </c>
      <c r="B186" s="42" t="s">
        <v>22</v>
      </c>
      <c r="C186" s="28">
        <v>325</v>
      </c>
      <c r="D186" s="29" t="s">
        <v>221</v>
      </c>
      <c r="E186" s="29" t="s">
        <v>492</v>
      </c>
      <c r="F186" s="30" t="s">
        <v>482</v>
      </c>
      <c r="G186" s="31" t="e">
        <f>#REF!</f>
        <v>#REF!</v>
      </c>
    </row>
    <row r="187" ht="60" hidden="1" spans="1:7">
      <c r="A187" s="43" t="s">
        <v>493</v>
      </c>
      <c r="B187" s="42" t="s">
        <v>22</v>
      </c>
      <c r="C187" s="28">
        <v>435</v>
      </c>
      <c r="D187" s="29" t="s">
        <v>221</v>
      </c>
      <c r="E187" s="29" t="s">
        <v>492</v>
      </c>
      <c r="F187" s="30" t="s">
        <v>482</v>
      </c>
      <c r="G187" s="31" t="e">
        <f>#REF!</f>
        <v>#REF!</v>
      </c>
    </row>
    <row r="188" ht="60" hidden="1" spans="1:7">
      <c r="A188" s="43" t="s">
        <v>494</v>
      </c>
      <c r="B188" s="42" t="s">
        <v>22</v>
      </c>
      <c r="C188" s="28">
        <v>425</v>
      </c>
      <c r="D188" s="29" t="s">
        <v>485</v>
      </c>
      <c r="E188" s="29" t="s">
        <v>495</v>
      </c>
      <c r="F188" s="30" t="s">
        <v>482</v>
      </c>
      <c r="G188" s="31" t="e">
        <f>#REF!</f>
        <v>#REF!</v>
      </c>
    </row>
    <row r="189" ht="60" hidden="1" spans="1:7">
      <c r="A189" s="45" t="s">
        <v>496</v>
      </c>
      <c r="B189" s="42" t="s">
        <v>22</v>
      </c>
      <c r="C189" s="28">
        <v>560</v>
      </c>
      <c r="D189" s="29" t="s">
        <v>221</v>
      </c>
      <c r="E189" s="29" t="s">
        <v>497</v>
      </c>
      <c r="F189" s="30" t="s">
        <v>482</v>
      </c>
      <c r="G189" s="31" t="e">
        <f>#REF!</f>
        <v>#REF!</v>
      </c>
    </row>
    <row r="190" ht="24" hidden="1" spans="1:7">
      <c r="A190" s="43" t="s">
        <v>498</v>
      </c>
      <c r="B190" s="35" t="s">
        <v>22</v>
      </c>
      <c r="C190" s="28">
        <v>285</v>
      </c>
      <c r="D190" s="29" t="s">
        <v>221</v>
      </c>
      <c r="E190" s="29" t="s">
        <v>499</v>
      </c>
      <c r="F190" s="30" t="s">
        <v>500</v>
      </c>
      <c r="G190" s="31" t="e">
        <f>#REF!</f>
        <v>#REF!</v>
      </c>
    </row>
    <row r="191" ht="36" hidden="1" spans="1:7">
      <c r="A191" s="43" t="s">
        <v>501</v>
      </c>
      <c r="B191" s="35" t="s">
        <v>22</v>
      </c>
      <c r="C191" s="28">
        <v>465</v>
      </c>
      <c r="D191" s="29" t="s">
        <v>221</v>
      </c>
      <c r="E191" s="29" t="s">
        <v>502</v>
      </c>
      <c r="F191" s="30" t="s">
        <v>503</v>
      </c>
      <c r="G191" s="31" t="e">
        <f>#REF!</f>
        <v>#REF!</v>
      </c>
    </row>
    <row r="192" ht="60" hidden="1" spans="1:7">
      <c r="A192" s="43" t="s">
        <v>504</v>
      </c>
      <c r="B192" s="42" t="s">
        <v>22</v>
      </c>
      <c r="C192" s="28">
        <v>560</v>
      </c>
      <c r="D192" s="29" t="s">
        <v>221</v>
      </c>
      <c r="E192" s="29" t="s">
        <v>505</v>
      </c>
      <c r="F192" s="30" t="s">
        <v>506</v>
      </c>
      <c r="G192" s="31" t="e">
        <f>#REF!</f>
        <v>#REF!</v>
      </c>
    </row>
    <row r="193" ht="36" hidden="1" spans="1:7">
      <c r="A193" s="43" t="s">
        <v>507</v>
      </c>
      <c r="B193" s="35" t="s">
        <v>22</v>
      </c>
      <c r="C193" s="28">
        <v>780</v>
      </c>
      <c r="D193" s="29" t="s">
        <v>221</v>
      </c>
      <c r="E193" s="29" t="s">
        <v>502</v>
      </c>
      <c r="F193" s="30" t="s">
        <v>503</v>
      </c>
      <c r="G193" s="31" t="e">
        <f>#REF!</f>
        <v>#REF!</v>
      </c>
    </row>
    <row r="194" ht="60" hidden="1" spans="1:7">
      <c r="A194" s="43" t="s">
        <v>32</v>
      </c>
      <c r="B194" s="42" t="s">
        <v>22</v>
      </c>
      <c r="C194" s="28">
        <v>780</v>
      </c>
      <c r="D194" s="29" t="s">
        <v>221</v>
      </c>
      <c r="E194" s="29" t="s">
        <v>508</v>
      </c>
      <c r="F194" s="30" t="s">
        <v>506</v>
      </c>
      <c r="G194" s="31" t="e">
        <f>#REF!</f>
        <v>#REF!</v>
      </c>
    </row>
    <row r="195" ht="28" hidden="1" spans="1:7">
      <c r="A195" s="34" t="s">
        <v>509</v>
      </c>
      <c r="B195" s="33" t="s">
        <v>22</v>
      </c>
      <c r="C195" s="28">
        <v>480</v>
      </c>
      <c r="D195" s="29" t="s">
        <v>221</v>
      </c>
      <c r="E195" s="29" t="s">
        <v>510</v>
      </c>
      <c r="F195" s="30" t="s">
        <v>511</v>
      </c>
      <c r="G195" s="31" t="e">
        <f>#REF!</f>
        <v>#REF!</v>
      </c>
    </row>
    <row r="196" ht="28" hidden="1" spans="1:7">
      <c r="A196" s="34" t="s">
        <v>512</v>
      </c>
      <c r="B196" s="33" t="s">
        <v>22</v>
      </c>
      <c r="C196" s="28">
        <v>650</v>
      </c>
      <c r="D196" s="29" t="s">
        <v>221</v>
      </c>
      <c r="E196" s="29" t="s">
        <v>513</v>
      </c>
      <c r="F196" s="30" t="s">
        <v>514</v>
      </c>
      <c r="G196" s="31" t="e">
        <f>#REF!</f>
        <v>#REF!</v>
      </c>
    </row>
    <row r="197" ht="42" hidden="1" spans="1:7">
      <c r="A197" s="34" t="s">
        <v>515</v>
      </c>
      <c r="B197" s="33" t="s">
        <v>22</v>
      </c>
      <c r="C197" s="28">
        <v>320</v>
      </c>
      <c r="D197" s="29" t="s">
        <v>516</v>
      </c>
      <c r="E197" s="29" t="s">
        <v>517</v>
      </c>
      <c r="F197" s="30" t="s">
        <v>518</v>
      </c>
      <c r="G197" s="31" t="e">
        <f>#REF!</f>
        <v>#REF!</v>
      </c>
    </row>
    <row r="198" ht="28" hidden="1" spans="1:7">
      <c r="A198" s="34" t="s">
        <v>519</v>
      </c>
      <c r="B198" s="33" t="s">
        <v>22</v>
      </c>
      <c r="C198" s="28">
        <v>535</v>
      </c>
      <c r="D198" s="29" t="s">
        <v>221</v>
      </c>
      <c r="E198" s="29" t="s">
        <v>520</v>
      </c>
      <c r="F198" s="30" t="s">
        <v>521</v>
      </c>
      <c r="G198" s="31" t="e">
        <f>#REF!</f>
        <v>#REF!</v>
      </c>
    </row>
    <row r="199" ht="36" hidden="1" spans="1:7">
      <c r="A199" s="43" t="s">
        <v>522</v>
      </c>
      <c r="B199" s="35" t="s">
        <v>22</v>
      </c>
      <c r="C199" s="28">
        <v>175</v>
      </c>
      <c r="D199" s="29" t="s">
        <v>221</v>
      </c>
      <c r="E199" s="29" t="s">
        <v>523</v>
      </c>
      <c r="F199" s="30" t="s">
        <v>524</v>
      </c>
      <c r="G199" s="31" t="e">
        <f>#REF!</f>
        <v>#REF!</v>
      </c>
    </row>
    <row r="200" ht="36" hidden="1" spans="1:7">
      <c r="A200" s="43" t="s">
        <v>525</v>
      </c>
      <c r="B200" s="35" t="s">
        <v>22</v>
      </c>
      <c r="C200" s="28">
        <v>205</v>
      </c>
      <c r="D200" s="29" t="s">
        <v>221</v>
      </c>
      <c r="E200" s="29" t="s">
        <v>526</v>
      </c>
      <c r="F200" s="30" t="s">
        <v>527</v>
      </c>
      <c r="G200" s="31" t="e">
        <f>#REF!</f>
        <v>#REF!</v>
      </c>
    </row>
    <row r="201" ht="36" hidden="1" spans="1:7">
      <c r="A201" s="43" t="s">
        <v>528</v>
      </c>
      <c r="B201" s="35" t="s">
        <v>22</v>
      </c>
      <c r="C201" s="28">
        <v>235</v>
      </c>
      <c r="D201" s="29" t="s">
        <v>221</v>
      </c>
      <c r="E201" s="29" t="s">
        <v>529</v>
      </c>
      <c r="F201" s="30" t="s">
        <v>530</v>
      </c>
      <c r="G201" s="31" t="e">
        <f>#REF!</f>
        <v>#REF!</v>
      </c>
    </row>
    <row r="202" ht="36" hidden="1" spans="1:7">
      <c r="A202" s="43" t="s">
        <v>531</v>
      </c>
      <c r="B202" s="35" t="s">
        <v>22</v>
      </c>
      <c r="C202" s="28">
        <v>145</v>
      </c>
      <c r="D202" s="29" t="s">
        <v>221</v>
      </c>
      <c r="E202" s="29" t="s">
        <v>532</v>
      </c>
      <c r="F202" s="30" t="s">
        <v>530</v>
      </c>
      <c r="G202" s="31" t="e">
        <f>#REF!</f>
        <v>#REF!</v>
      </c>
    </row>
    <row r="203" ht="36" hidden="1" spans="1:7">
      <c r="A203" s="43" t="s">
        <v>533</v>
      </c>
      <c r="B203" s="35" t="s">
        <v>22</v>
      </c>
      <c r="C203" s="28">
        <v>285</v>
      </c>
      <c r="D203" s="29" t="s">
        <v>221</v>
      </c>
      <c r="E203" s="29" t="s">
        <v>529</v>
      </c>
      <c r="F203" s="30" t="s">
        <v>530</v>
      </c>
      <c r="G203" s="31" t="e">
        <f>#REF!</f>
        <v>#REF!</v>
      </c>
    </row>
    <row r="204" ht="24" hidden="1" spans="1:7">
      <c r="A204" s="43" t="s">
        <v>534</v>
      </c>
      <c r="B204" s="35" t="s">
        <v>22</v>
      </c>
      <c r="C204" s="28">
        <v>88</v>
      </c>
      <c r="D204" s="29" t="s">
        <v>221</v>
      </c>
      <c r="E204" s="29" t="s">
        <v>535</v>
      </c>
      <c r="F204" s="30" t="s">
        <v>536</v>
      </c>
      <c r="G204" s="31" t="e">
        <f>#REF!</f>
        <v>#REF!</v>
      </c>
    </row>
    <row r="205" hidden="1" spans="1:7">
      <c r="A205" s="34" t="s">
        <v>537</v>
      </c>
      <c r="B205" s="42" t="s">
        <v>64</v>
      </c>
      <c r="C205" s="28">
        <v>16</v>
      </c>
      <c r="D205" s="29" t="s">
        <v>343</v>
      </c>
      <c r="E205" s="29" t="s">
        <v>538</v>
      </c>
      <c r="F205" s="30">
        <v>0</v>
      </c>
      <c r="G205" s="31" t="e">
        <f>#REF!</f>
        <v>#REF!</v>
      </c>
    </row>
    <row r="206" ht="24" hidden="1" spans="1:7">
      <c r="A206" s="34" t="s">
        <v>539</v>
      </c>
      <c r="B206" s="42" t="s">
        <v>22</v>
      </c>
      <c r="C206" s="28">
        <v>158</v>
      </c>
      <c r="D206" s="29" t="s">
        <v>221</v>
      </c>
      <c r="E206" s="29" t="s">
        <v>540</v>
      </c>
      <c r="F206" s="30" t="s">
        <v>541</v>
      </c>
      <c r="G206" s="31" t="e">
        <f>#REF!</f>
        <v>#REF!</v>
      </c>
    </row>
    <row r="207" ht="28" hidden="1" spans="1:7">
      <c r="A207" s="34" t="s">
        <v>542</v>
      </c>
      <c r="B207" s="42" t="s">
        <v>22</v>
      </c>
      <c r="C207" s="28">
        <v>75</v>
      </c>
      <c r="D207" s="29" t="s">
        <v>343</v>
      </c>
      <c r="E207" s="29" t="s">
        <v>543</v>
      </c>
      <c r="F207" s="30" t="s">
        <v>544</v>
      </c>
      <c r="G207" s="31" t="e">
        <f>#REF!</f>
        <v>#REF!</v>
      </c>
    </row>
    <row r="208" ht="28" hidden="1" spans="1:7">
      <c r="A208" s="34" t="s">
        <v>545</v>
      </c>
      <c r="B208" s="42" t="s">
        <v>22</v>
      </c>
      <c r="C208" s="28">
        <v>48</v>
      </c>
      <c r="D208" s="29" t="s">
        <v>343</v>
      </c>
      <c r="E208" s="29" t="s">
        <v>546</v>
      </c>
      <c r="F208" s="30" t="s">
        <v>547</v>
      </c>
      <c r="G208" s="31" t="e">
        <f>#REF!</f>
        <v>#REF!</v>
      </c>
    </row>
    <row r="209" s="6" customFormat="1" ht="48" hidden="1" spans="1:8">
      <c r="A209" s="46" t="s">
        <v>548</v>
      </c>
      <c r="B209" s="35" t="s">
        <v>22</v>
      </c>
      <c r="C209" s="28">
        <v>35</v>
      </c>
      <c r="D209" s="29" t="s">
        <v>120</v>
      </c>
      <c r="E209" s="29" t="s">
        <v>549</v>
      </c>
      <c r="F209" s="30" t="s">
        <v>550</v>
      </c>
      <c r="G209" s="31" t="e">
        <f>#REF!</f>
        <v>#REF!</v>
      </c>
      <c r="H209" s="6" t="s">
        <v>551</v>
      </c>
    </row>
    <row r="210" s="6" customFormat="1" ht="96" hidden="1" spans="1:8">
      <c r="A210" s="47" t="s">
        <v>552</v>
      </c>
      <c r="B210" s="35" t="s">
        <v>22</v>
      </c>
      <c r="C210" s="28">
        <v>50</v>
      </c>
      <c r="D210" s="29" t="s">
        <v>553</v>
      </c>
      <c r="E210" s="29" t="s">
        <v>554</v>
      </c>
      <c r="F210" s="30" t="s">
        <v>555</v>
      </c>
      <c r="G210" s="31" t="e">
        <f>#REF!</f>
        <v>#REF!</v>
      </c>
      <c r="H210" s="6" t="s">
        <v>551</v>
      </c>
    </row>
    <row r="211" ht="72" hidden="1" spans="1:7">
      <c r="A211" s="34" t="s">
        <v>44</v>
      </c>
      <c r="B211" s="35" t="s">
        <v>22</v>
      </c>
      <c r="C211" s="28">
        <v>58</v>
      </c>
      <c r="D211" s="29" t="s">
        <v>556</v>
      </c>
      <c r="E211" s="29" t="s">
        <v>557</v>
      </c>
      <c r="F211" s="30" t="s">
        <v>558</v>
      </c>
      <c r="G211" s="31" t="e">
        <f>#REF!</f>
        <v>#REF!</v>
      </c>
    </row>
    <row r="212" ht="72" hidden="1" spans="1:7">
      <c r="A212" s="34" t="s">
        <v>559</v>
      </c>
      <c r="B212" s="35" t="s">
        <v>22</v>
      </c>
      <c r="C212" s="28">
        <v>58</v>
      </c>
      <c r="D212" s="29" t="s">
        <v>556</v>
      </c>
      <c r="E212" s="29" t="s">
        <v>557</v>
      </c>
      <c r="F212" s="30" t="s">
        <v>558</v>
      </c>
      <c r="G212" s="31" t="e">
        <f>#REF!</f>
        <v>#REF!</v>
      </c>
    </row>
    <row r="213" ht="72" hidden="1" spans="1:7">
      <c r="A213" s="34" t="s">
        <v>52</v>
      </c>
      <c r="B213" s="35" t="s">
        <v>22</v>
      </c>
      <c r="C213" s="28">
        <v>58</v>
      </c>
      <c r="D213" s="29" t="s">
        <v>556</v>
      </c>
      <c r="E213" s="29" t="s">
        <v>557</v>
      </c>
      <c r="F213" s="30" t="s">
        <v>560</v>
      </c>
      <c r="G213" s="31" t="e">
        <f>#REF!</f>
        <v>#REF!</v>
      </c>
    </row>
    <row r="214" ht="72" hidden="1" spans="1:7">
      <c r="A214" s="34" t="s">
        <v>77</v>
      </c>
      <c r="B214" s="35" t="s">
        <v>22</v>
      </c>
      <c r="C214" s="28">
        <v>58</v>
      </c>
      <c r="D214" s="29" t="s">
        <v>556</v>
      </c>
      <c r="E214" s="29" t="s">
        <v>557</v>
      </c>
      <c r="F214" s="30" t="s">
        <v>560</v>
      </c>
      <c r="G214" s="31" t="e">
        <f>#REF!</f>
        <v>#REF!</v>
      </c>
    </row>
    <row r="215" ht="96" hidden="1" spans="1:7">
      <c r="A215" s="34" t="s">
        <v>561</v>
      </c>
      <c r="B215" s="35" t="s">
        <v>22</v>
      </c>
      <c r="C215" s="28">
        <v>108</v>
      </c>
      <c r="D215" s="29" t="s">
        <v>556</v>
      </c>
      <c r="E215" s="29" t="s">
        <v>562</v>
      </c>
      <c r="F215" s="30" t="s">
        <v>555</v>
      </c>
      <c r="G215" s="31" t="e">
        <f>#REF!</f>
        <v>#REF!</v>
      </c>
    </row>
    <row r="216" ht="96" hidden="1" spans="1:7">
      <c r="A216" s="34" t="s">
        <v>563</v>
      </c>
      <c r="B216" s="35" t="s">
        <v>22</v>
      </c>
      <c r="C216" s="28">
        <v>108</v>
      </c>
      <c r="D216" s="29" t="s">
        <v>556</v>
      </c>
      <c r="E216" s="29" t="s">
        <v>562</v>
      </c>
      <c r="F216" s="30" t="s">
        <v>555</v>
      </c>
      <c r="G216" s="31" t="e">
        <f>#REF!</f>
        <v>#REF!</v>
      </c>
    </row>
    <row r="217" ht="96" hidden="1" spans="1:7">
      <c r="A217" s="34" t="s">
        <v>564</v>
      </c>
      <c r="B217" s="35" t="s">
        <v>22</v>
      </c>
      <c r="C217" s="28">
        <v>146</v>
      </c>
      <c r="D217" s="29" t="s">
        <v>556</v>
      </c>
      <c r="E217" s="29" t="s">
        <v>557</v>
      </c>
      <c r="F217" s="30" t="s">
        <v>555</v>
      </c>
      <c r="G217" s="31" t="e">
        <f>#REF!</f>
        <v>#REF!</v>
      </c>
    </row>
    <row r="218" ht="72" hidden="1" spans="1:7">
      <c r="A218" s="43" t="s">
        <v>565</v>
      </c>
      <c r="B218" s="42" t="s">
        <v>64</v>
      </c>
      <c r="C218" s="28">
        <v>98</v>
      </c>
      <c r="D218" s="29" t="s">
        <v>343</v>
      </c>
      <c r="E218" s="29" t="s">
        <v>566</v>
      </c>
      <c r="F218" s="30" t="s">
        <v>567</v>
      </c>
      <c r="G218" s="31" t="e">
        <f>#REF!</f>
        <v>#REF!</v>
      </c>
    </row>
    <row r="219" ht="72" hidden="1" spans="1:7">
      <c r="A219" s="43" t="s">
        <v>568</v>
      </c>
      <c r="B219" s="42" t="s">
        <v>64</v>
      </c>
      <c r="C219" s="28">
        <v>98</v>
      </c>
      <c r="D219" s="29" t="s">
        <v>343</v>
      </c>
      <c r="E219" s="29" t="s">
        <v>566</v>
      </c>
      <c r="F219" s="30" t="s">
        <v>567</v>
      </c>
      <c r="G219" s="31" t="e">
        <f>#REF!</f>
        <v>#REF!</v>
      </c>
    </row>
    <row r="220" ht="72" hidden="1" spans="1:7">
      <c r="A220" s="43" t="s">
        <v>569</v>
      </c>
      <c r="B220" s="42" t="s">
        <v>64</v>
      </c>
      <c r="C220" s="28">
        <v>6</v>
      </c>
      <c r="D220" s="29" t="s">
        <v>343</v>
      </c>
      <c r="E220" s="29" t="s">
        <v>570</v>
      </c>
      <c r="F220" s="30" t="s">
        <v>571</v>
      </c>
      <c r="G220" s="31" t="e">
        <f>#REF!</f>
        <v>#REF!</v>
      </c>
    </row>
    <row r="221" s="4" customFormat="1" ht="36" hidden="1" spans="1:7">
      <c r="A221" s="26" t="s">
        <v>572</v>
      </c>
      <c r="B221" s="27" t="s">
        <v>22</v>
      </c>
      <c r="C221" s="28">
        <v>8</v>
      </c>
      <c r="D221" s="29" t="s">
        <v>120</v>
      </c>
      <c r="E221" s="29" t="s">
        <v>573</v>
      </c>
      <c r="F221" s="30" t="s">
        <v>574</v>
      </c>
      <c r="G221" s="31" t="e">
        <f>#REF!</f>
        <v>#REF!</v>
      </c>
    </row>
    <row r="222" ht="96" hidden="1" spans="1:7">
      <c r="A222" s="34" t="s">
        <v>575</v>
      </c>
      <c r="B222" s="35" t="s">
        <v>22</v>
      </c>
      <c r="C222" s="28">
        <v>140</v>
      </c>
      <c r="D222" s="29" t="s">
        <v>221</v>
      </c>
      <c r="E222" s="29" t="s">
        <v>576</v>
      </c>
      <c r="F222" s="30" t="s">
        <v>577</v>
      </c>
      <c r="G222" s="31" t="e">
        <f>#REF!</f>
        <v>#REF!</v>
      </c>
    </row>
    <row r="223" ht="96" hidden="1" spans="1:7">
      <c r="A223" s="34" t="s">
        <v>72</v>
      </c>
      <c r="B223" s="35" t="s">
        <v>22</v>
      </c>
      <c r="C223" s="28">
        <v>130</v>
      </c>
      <c r="D223" s="29" t="s">
        <v>221</v>
      </c>
      <c r="E223" s="29" t="s">
        <v>578</v>
      </c>
      <c r="F223" s="30" t="s">
        <v>579</v>
      </c>
      <c r="G223" s="31" t="e">
        <f>#REF!</f>
        <v>#REF!</v>
      </c>
    </row>
    <row r="224" ht="96" hidden="1" spans="1:7">
      <c r="A224" s="34" t="s">
        <v>74</v>
      </c>
      <c r="B224" s="35" t="s">
        <v>22</v>
      </c>
      <c r="C224" s="28">
        <v>130</v>
      </c>
      <c r="D224" s="29" t="s">
        <v>221</v>
      </c>
      <c r="E224" s="29" t="s">
        <v>578</v>
      </c>
      <c r="F224" s="30" t="s">
        <v>579</v>
      </c>
      <c r="G224" s="31" t="e">
        <f>#REF!</f>
        <v>#REF!</v>
      </c>
    </row>
    <row r="225" ht="108" hidden="1" spans="1:7">
      <c r="A225" s="34" t="s">
        <v>580</v>
      </c>
      <c r="B225" s="35" t="s">
        <v>22</v>
      </c>
      <c r="C225" s="28">
        <v>230</v>
      </c>
      <c r="D225" s="29" t="s">
        <v>221</v>
      </c>
      <c r="E225" s="29" t="s">
        <v>581</v>
      </c>
      <c r="F225" s="30" t="s">
        <v>582</v>
      </c>
      <c r="G225" s="31" t="e">
        <f>#REF!</f>
        <v>#REF!</v>
      </c>
    </row>
    <row r="226" ht="96" hidden="1" spans="1:7">
      <c r="A226" s="34" t="s">
        <v>583</v>
      </c>
      <c r="B226" s="35" t="s">
        <v>22</v>
      </c>
      <c r="C226" s="28">
        <v>140</v>
      </c>
      <c r="D226" s="29" t="s">
        <v>221</v>
      </c>
      <c r="E226" s="29" t="s">
        <v>584</v>
      </c>
      <c r="F226" s="30" t="s">
        <v>585</v>
      </c>
      <c r="G226" s="31" t="e">
        <f>#REF!</f>
        <v>#REF!</v>
      </c>
    </row>
    <row r="227" ht="96" hidden="1" spans="1:7">
      <c r="A227" s="34" t="s">
        <v>586</v>
      </c>
      <c r="B227" s="35" t="s">
        <v>22</v>
      </c>
      <c r="C227" s="28">
        <v>130</v>
      </c>
      <c r="D227" s="29" t="s">
        <v>221</v>
      </c>
      <c r="E227" s="29" t="s">
        <v>584</v>
      </c>
      <c r="F227" s="30" t="s">
        <v>585</v>
      </c>
      <c r="G227" s="31" t="e">
        <f>#REF!</f>
        <v>#REF!</v>
      </c>
    </row>
    <row r="228" ht="96" hidden="1" spans="1:7">
      <c r="A228" s="34" t="s">
        <v>587</v>
      </c>
      <c r="B228" s="35" t="s">
        <v>22</v>
      </c>
      <c r="C228" s="28">
        <v>168</v>
      </c>
      <c r="D228" s="29" t="s">
        <v>221</v>
      </c>
      <c r="E228" s="29" t="s">
        <v>588</v>
      </c>
      <c r="F228" s="30" t="s">
        <v>589</v>
      </c>
      <c r="G228" s="31" t="e">
        <f>#REF!</f>
        <v>#REF!</v>
      </c>
    </row>
    <row r="229" ht="96" hidden="1" spans="1:7">
      <c r="A229" s="34" t="s">
        <v>590</v>
      </c>
      <c r="B229" s="35" t="s">
        <v>22</v>
      </c>
      <c r="C229" s="28">
        <v>130</v>
      </c>
      <c r="D229" s="29" t="s">
        <v>221</v>
      </c>
      <c r="E229" s="29" t="s">
        <v>588</v>
      </c>
      <c r="F229" s="30" t="s">
        <v>589</v>
      </c>
      <c r="G229" s="31" t="e">
        <f>#REF!</f>
        <v>#REF!</v>
      </c>
    </row>
    <row r="230" ht="96" hidden="1" spans="1:7">
      <c r="A230" s="34" t="s">
        <v>591</v>
      </c>
      <c r="B230" s="35" t="s">
        <v>22</v>
      </c>
      <c r="C230" s="28">
        <v>230</v>
      </c>
      <c r="D230" s="29" t="s">
        <v>221</v>
      </c>
      <c r="E230" s="29" t="s">
        <v>592</v>
      </c>
      <c r="F230" s="30" t="s">
        <v>593</v>
      </c>
      <c r="G230" s="31" t="e">
        <f>#REF!</f>
        <v>#REF!</v>
      </c>
    </row>
    <row r="231" ht="96" hidden="1" spans="1:7">
      <c r="A231" s="34" t="s">
        <v>594</v>
      </c>
      <c r="B231" s="35" t="s">
        <v>22</v>
      </c>
      <c r="C231" s="28">
        <v>245</v>
      </c>
      <c r="D231" s="29" t="s">
        <v>221</v>
      </c>
      <c r="E231" s="29" t="s">
        <v>584</v>
      </c>
      <c r="F231" s="30" t="s">
        <v>585</v>
      </c>
      <c r="G231" s="31" t="e">
        <f>#REF!</f>
        <v>#REF!</v>
      </c>
    </row>
    <row r="232" ht="96" hidden="1" spans="1:7">
      <c r="A232" s="34" t="s">
        <v>595</v>
      </c>
      <c r="B232" s="35" t="s">
        <v>22</v>
      </c>
      <c r="C232" s="28">
        <v>265</v>
      </c>
      <c r="D232" s="29" t="s">
        <v>221</v>
      </c>
      <c r="E232" s="29" t="s">
        <v>588</v>
      </c>
      <c r="F232" s="30" t="s">
        <v>589</v>
      </c>
      <c r="G232" s="31" t="e">
        <f>#REF!</f>
        <v>#REF!</v>
      </c>
    </row>
    <row r="233" ht="96" hidden="1" spans="1:7">
      <c r="A233" s="34" t="s">
        <v>596</v>
      </c>
      <c r="B233" s="35" t="s">
        <v>22</v>
      </c>
      <c r="C233" s="28">
        <v>290</v>
      </c>
      <c r="D233" s="29" t="s">
        <v>221</v>
      </c>
      <c r="E233" s="29" t="s">
        <v>584</v>
      </c>
      <c r="F233" s="30" t="s">
        <v>585</v>
      </c>
      <c r="G233" s="31" t="e">
        <f>#REF!</f>
        <v>#REF!</v>
      </c>
    </row>
    <row r="234" ht="96" hidden="1" spans="1:7">
      <c r="A234" s="34" t="s">
        <v>597</v>
      </c>
      <c r="B234" s="35" t="s">
        <v>22</v>
      </c>
      <c r="C234" s="28">
        <v>310</v>
      </c>
      <c r="D234" s="29" t="s">
        <v>221</v>
      </c>
      <c r="E234" s="29" t="s">
        <v>588</v>
      </c>
      <c r="F234" s="30" t="s">
        <v>589</v>
      </c>
      <c r="G234" s="31" t="e">
        <f>#REF!</f>
        <v>#REF!</v>
      </c>
    </row>
    <row r="235" ht="96" hidden="1" spans="1:7">
      <c r="A235" s="34" t="s">
        <v>598</v>
      </c>
      <c r="B235" s="35" t="s">
        <v>22</v>
      </c>
      <c r="C235" s="28">
        <v>368</v>
      </c>
      <c r="D235" s="29" t="s">
        <v>221</v>
      </c>
      <c r="E235" s="29" t="s">
        <v>584</v>
      </c>
      <c r="F235" s="30" t="s">
        <v>585</v>
      </c>
      <c r="G235" s="31" t="e">
        <f>#REF!</f>
        <v>#REF!</v>
      </c>
    </row>
    <row r="236" ht="96" hidden="1" spans="1:7">
      <c r="A236" s="34" t="s">
        <v>599</v>
      </c>
      <c r="B236" s="35" t="s">
        <v>22</v>
      </c>
      <c r="C236" s="28">
        <v>399</v>
      </c>
      <c r="D236" s="29" t="s">
        <v>221</v>
      </c>
      <c r="E236" s="29" t="s">
        <v>588</v>
      </c>
      <c r="F236" s="30" t="s">
        <v>589</v>
      </c>
      <c r="G236" s="31" t="e">
        <f>#REF!</f>
        <v>#REF!</v>
      </c>
    </row>
    <row r="237" ht="96" hidden="1" spans="1:7">
      <c r="A237" s="34" t="s">
        <v>600</v>
      </c>
      <c r="B237" s="35" t="s">
        <v>22</v>
      </c>
      <c r="C237" s="28">
        <v>168</v>
      </c>
      <c r="D237" s="29" t="s">
        <v>601</v>
      </c>
      <c r="E237" s="29" t="s">
        <v>578</v>
      </c>
      <c r="F237" s="30" t="s">
        <v>579</v>
      </c>
      <c r="G237" s="31" t="e">
        <f>#REF!</f>
        <v>#REF!</v>
      </c>
    </row>
    <row r="238" ht="96" hidden="1" spans="1:7">
      <c r="A238" s="34" t="s">
        <v>602</v>
      </c>
      <c r="B238" s="35" t="s">
        <v>22</v>
      </c>
      <c r="C238" s="28">
        <v>230</v>
      </c>
      <c r="D238" s="29" t="s">
        <v>221</v>
      </c>
      <c r="E238" s="29" t="s">
        <v>603</v>
      </c>
      <c r="F238" s="30" t="s">
        <v>604</v>
      </c>
      <c r="G238" s="31" t="e">
        <f>#REF!</f>
        <v>#REF!</v>
      </c>
    </row>
    <row r="239" ht="96" hidden="1" spans="1:7">
      <c r="A239" s="34" t="s">
        <v>605</v>
      </c>
      <c r="B239" s="35" t="s">
        <v>22</v>
      </c>
      <c r="C239" s="28">
        <v>385</v>
      </c>
      <c r="D239" s="29" t="s">
        <v>221</v>
      </c>
      <c r="E239" s="29" t="s">
        <v>606</v>
      </c>
      <c r="F239" s="30" t="s">
        <v>604</v>
      </c>
      <c r="G239" s="31" t="e">
        <f>#REF!</f>
        <v>#REF!</v>
      </c>
    </row>
    <row r="240" ht="48" hidden="1" spans="1:7">
      <c r="A240" s="34" t="s">
        <v>607</v>
      </c>
      <c r="B240" s="35" t="s">
        <v>64</v>
      </c>
      <c r="C240" s="28" t="s">
        <v>608</v>
      </c>
      <c r="D240" s="29" t="s">
        <v>343</v>
      </c>
      <c r="E240" s="29" t="s">
        <v>609</v>
      </c>
      <c r="F240" s="30" t="s">
        <v>610</v>
      </c>
      <c r="G240" s="31" t="e">
        <f>#REF!</f>
        <v>#REF!</v>
      </c>
    </row>
    <row r="241" ht="48" hidden="1" spans="1:7">
      <c r="A241" s="34" t="s">
        <v>611</v>
      </c>
      <c r="B241" s="35" t="s">
        <v>64</v>
      </c>
      <c r="C241" s="28" t="s">
        <v>608</v>
      </c>
      <c r="D241" s="29" t="s">
        <v>343</v>
      </c>
      <c r="E241" s="29" t="s">
        <v>609</v>
      </c>
      <c r="F241" s="30" t="s">
        <v>610</v>
      </c>
      <c r="G241" s="31" t="e">
        <f>#REF!</f>
        <v>#REF!</v>
      </c>
    </row>
    <row r="242" ht="48" hidden="1" spans="1:7">
      <c r="A242" s="34" t="s">
        <v>612</v>
      </c>
      <c r="B242" s="35" t="s">
        <v>64</v>
      </c>
      <c r="C242" s="28" t="s">
        <v>613</v>
      </c>
      <c r="D242" s="29" t="s">
        <v>614</v>
      </c>
      <c r="E242" s="29" t="s">
        <v>609</v>
      </c>
      <c r="F242" s="30" t="s">
        <v>610</v>
      </c>
      <c r="G242" s="31" t="e">
        <f>#REF!</f>
        <v>#REF!</v>
      </c>
    </row>
    <row r="243" ht="84" hidden="1" spans="1:7">
      <c r="A243" s="34" t="s">
        <v>615</v>
      </c>
      <c r="B243" s="35" t="s">
        <v>161</v>
      </c>
      <c r="C243" s="28">
        <v>145</v>
      </c>
      <c r="D243" s="29" t="s">
        <v>616</v>
      </c>
      <c r="E243" s="29" t="s">
        <v>617</v>
      </c>
      <c r="F243" s="30" t="s">
        <v>618</v>
      </c>
      <c r="G243" s="31" t="e">
        <f>#REF!</f>
        <v>#REF!</v>
      </c>
    </row>
    <row r="244" ht="96" hidden="1" spans="1:7">
      <c r="A244" s="34" t="s">
        <v>619</v>
      </c>
      <c r="B244" s="35" t="s">
        <v>224</v>
      </c>
      <c r="C244" s="28">
        <v>200</v>
      </c>
      <c r="D244" s="29" t="s">
        <v>620</v>
      </c>
      <c r="E244" s="29" t="s">
        <v>621</v>
      </c>
      <c r="F244" s="30" t="s">
        <v>604</v>
      </c>
      <c r="G244" s="31" t="e">
        <f>#REF!</f>
        <v>#REF!</v>
      </c>
    </row>
    <row r="245" ht="96" hidden="1" spans="1:7">
      <c r="A245" s="34" t="s">
        <v>622</v>
      </c>
      <c r="B245" s="35" t="s">
        <v>224</v>
      </c>
      <c r="C245" s="28">
        <v>150</v>
      </c>
      <c r="D245" s="29" t="s">
        <v>620</v>
      </c>
      <c r="E245" s="29" t="s">
        <v>621</v>
      </c>
      <c r="F245" s="30" t="s">
        <v>604</v>
      </c>
      <c r="G245" s="31" t="e">
        <f>#REF!</f>
        <v>#REF!</v>
      </c>
    </row>
    <row r="246" hidden="1" spans="1:7">
      <c r="A246" s="34" t="s">
        <v>623</v>
      </c>
      <c r="B246" s="35" t="s">
        <v>22</v>
      </c>
      <c r="C246" s="28">
        <v>99</v>
      </c>
      <c r="D246" s="29" t="s">
        <v>221</v>
      </c>
      <c r="E246" s="29" t="s">
        <v>624</v>
      </c>
      <c r="F246" s="30" t="s">
        <v>625</v>
      </c>
      <c r="G246" s="31" t="e">
        <f>#REF!</f>
        <v>#REF!</v>
      </c>
    </row>
    <row r="247" ht="60" hidden="1" spans="1:7">
      <c r="A247" s="34" t="s">
        <v>626</v>
      </c>
      <c r="B247" s="35" t="s">
        <v>64</v>
      </c>
      <c r="C247" s="28">
        <v>30</v>
      </c>
      <c r="D247" s="29" t="s">
        <v>343</v>
      </c>
      <c r="E247" s="29" t="s">
        <v>627</v>
      </c>
      <c r="F247" s="30" t="s">
        <v>628</v>
      </c>
      <c r="G247" s="31" t="e">
        <f>#REF!</f>
        <v>#REF!</v>
      </c>
    </row>
    <row r="248" ht="60" hidden="1" spans="1:7">
      <c r="A248" s="34" t="s">
        <v>629</v>
      </c>
      <c r="B248" s="35" t="s">
        <v>64</v>
      </c>
      <c r="C248" s="28">
        <v>40</v>
      </c>
      <c r="D248" s="29" t="s">
        <v>343</v>
      </c>
      <c r="E248" s="29" t="s">
        <v>630</v>
      </c>
      <c r="F248" s="30" t="s">
        <v>631</v>
      </c>
      <c r="G248" s="31" t="e">
        <f>#REF!</f>
        <v>#REF!</v>
      </c>
    </row>
    <row r="249" ht="60" hidden="1" spans="1:7">
      <c r="A249" s="34" t="s">
        <v>632</v>
      </c>
      <c r="B249" s="35" t="s">
        <v>64</v>
      </c>
      <c r="C249" s="28">
        <v>58</v>
      </c>
      <c r="D249" s="29" t="s">
        <v>343</v>
      </c>
      <c r="E249" s="29" t="s">
        <v>633</v>
      </c>
      <c r="F249" s="30" t="s">
        <v>628</v>
      </c>
      <c r="G249" s="31" t="e">
        <f>#REF!</f>
        <v>#REF!</v>
      </c>
    </row>
    <row r="250" ht="36" hidden="1" spans="1:7">
      <c r="A250" s="34" t="s">
        <v>73</v>
      </c>
      <c r="B250" s="35" t="s">
        <v>22</v>
      </c>
      <c r="C250" s="28">
        <v>30</v>
      </c>
      <c r="D250" s="29" t="s">
        <v>221</v>
      </c>
      <c r="E250" s="29" t="s">
        <v>634</v>
      </c>
      <c r="F250" s="30" t="s">
        <v>635</v>
      </c>
      <c r="G250" s="31" t="e">
        <f>#REF!</f>
        <v>#REF!</v>
      </c>
    </row>
    <row r="251" ht="28" hidden="1" spans="1:7">
      <c r="A251" s="34" t="s">
        <v>45</v>
      </c>
      <c r="B251" s="35" t="s">
        <v>22</v>
      </c>
      <c r="C251" s="28">
        <v>0</v>
      </c>
      <c r="D251" s="29" t="s">
        <v>636</v>
      </c>
      <c r="E251" s="29" t="s">
        <v>637</v>
      </c>
      <c r="F251" s="30" t="s">
        <v>638</v>
      </c>
      <c r="G251" s="31" t="e">
        <f>#REF!</f>
        <v>#REF!</v>
      </c>
    </row>
    <row r="252" ht="28" hidden="1" spans="1:7">
      <c r="A252" s="34" t="s">
        <v>639</v>
      </c>
      <c r="B252" s="35" t="s">
        <v>22</v>
      </c>
      <c r="C252" s="28">
        <v>15</v>
      </c>
      <c r="D252" s="29" t="s">
        <v>636</v>
      </c>
      <c r="E252" s="29" t="s">
        <v>640</v>
      </c>
      <c r="F252" s="30" t="s">
        <v>638</v>
      </c>
      <c r="G252" s="31" t="e">
        <f>#REF!</f>
        <v>#REF!</v>
      </c>
    </row>
    <row r="253" ht="70" hidden="1" spans="1:7">
      <c r="A253" s="34" t="s">
        <v>641</v>
      </c>
      <c r="B253" s="35" t="s">
        <v>22</v>
      </c>
      <c r="C253" s="28">
        <v>0</v>
      </c>
      <c r="D253" s="29" t="s">
        <v>642</v>
      </c>
      <c r="E253" s="29" t="s">
        <v>641</v>
      </c>
      <c r="F253" s="30" t="s">
        <v>643</v>
      </c>
      <c r="G253" s="31" t="e">
        <f>#REF!</f>
        <v>#REF!</v>
      </c>
    </row>
    <row r="254" ht="84" hidden="1" spans="1:7">
      <c r="A254" s="34" t="s">
        <v>644</v>
      </c>
      <c r="B254" s="35" t="s">
        <v>92</v>
      </c>
      <c r="C254" s="28">
        <v>120</v>
      </c>
      <c r="D254" s="29" t="s">
        <v>645</v>
      </c>
      <c r="E254" s="29" t="s">
        <v>646</v>
      </c>
      <c r="F254" s="30" t="s">
        <v>646</v>
      </c>
      <c r="G254" s="31" t="e">
        <f>#REF!</f>
        <v>#REF!</v>
      </c>
    </row>
    <row r="255" ht="24" hidden="1" spans="1:7">
      <c r="A255" s="34" t="s">
        <v>647</v>
      </c>
      <c r="B255" s="35" t="s">
        <v>22</v>
      </c>
      <c r="C255" s="28">
        <v>20</v>
      </c>
      <c r="D255" s="29" t="s">
        <v>221</v>
      </c>
      <c r="E255" s="29" t="s">
        <v>648</v>
      </c>
      <c r="F255" s="30" t="s">
        <v>649</v>
      </c>
      <c r="G255" s="31" t="e">
        <f>#REF!</f>
        <v>#REF!</v>
      </c>
    </row>
    <row r="256" ht="24" hidden="1" spans="1:7">
      <c r="A256" s="34" t="s">
        <v>650</v>
      </c>
      <c r="B256" s="35" t="s">
        <v>22</v>
      </c>
      <c r="C256" s="28">
        <v>30</v>
      </c>
      <c r="D256" s="29" t="s">
        <v>221</v>
      </c>
      <c r="E256" s="29" t="s">
        <v>648</v>
      </c>
      <c r="F256" s="30" t="s">
        <v>649</v>
      </c>
      <c r="G256" s="31" t="e">
        <f>#REF!</f>
        <v>#REF!</v>
      </c>
    </row>
    <row r="257" ht="24" hidden="1" spans="1:7">
      <c r="A257" s="34" t="s">
        <v>651</v>
      </c>
      <c r="B257" s="35" t="s">
        <v>22</v>
      </c>
      <c r="C257" s="28">
        <v>30</v>
      </c>
      <c r="D257" s="29" t="s">
        <v>221</v>
      </c>
      <c r="E257" s="29" t="s">
        <v>652</v>
      </c>
      <c r="F257" s="30" t="s">
        <v>653</v>
      </c>
      <c r="G257" s="31" t="e">
        <f>#REF!</f>
        <v>#REF!</v>
      </c>
    </row>
    <row r="258" ht="24" hidden="1" spans="1:7">
      <c r="A258" s="34" t="s">
        <v>654</v>
      </c>
      <c r="B258" s="35" t="s">
        <v>22</v>
      </c>
      <c r="C258" s="28">
        <v>40</v>
      </c>
      <c r="D258" s="29" t="s">
        <v>221</v>
      </c>
      <c r="E258" s="29" t="s">
        <v>652</v>
      </c>
      <c r="F258" s="30" t="s">
        <v>653</v>
      </c>
      <c r="G258" s="31" t="e">
        <f>#REF!</f>
        <v>#REF!</v>
      </c>
    </row>
    <row r="259" ht="28" hidden="1" spans="1:7">
      <c r="A259" s="34" t="s">
        <v>655</v>
      </c>
      <c r="B259" s="35" t="s">
        <v>22</v>
      </c>
      <c r="C259" s="28">
        <v>68</v>
      </c>
      <c r="D259" s="29" t="s">
        <v>656</v>
      </c>
      <c r="E259" s="29" t="s">
        <v>657</v>
      </c>
      <c r="F259" s="30" t="s">
        <v>658</v>
      </c>
      <c r="G259" s="31" t="e">
        <f>#REF!</f>
        <v>#REF!</v>
      </c>
    </row>
    <row r="260" s="4" customFormat="1" ht="48" hidden="1" spans="1:7">
      <c r="A260" s="26" t="s">
        <v>659</v>
      </c>
      <c r="B260" s="27" t="s">
        <v>64</v>
      </c>
      <c r="C260" s="28">
        <v>120</v>
      </c>
      <c r="D260" s="29" t="s">
        <v>343</v>
      </c>
      <c r="E260" s="29" t="s">
        <v>85</v>
      </c>
      <c r="F260" s="30" t="s">
        <v>660</v>
      </c>
      <c r="G260" s="31" t="e">
        <f>#REF!</f>
        <v>#REF!</v>
      </c>
    </row>
    <row r="261" s="4" customFormat="1" ht="36" hidden="1" spans="1:7">
      <c r="A261" s="26" t="s">
        <v>661</v>
      </c>
      <c r="B261" s="27" t="s">
        <v>64</v>
      </c>
      <c r="C261" s="28">
        <v>120</v>
      </c>
      <c r="D261" s="29" t="s">
        <v>343</v>
      </c>
      <c r="E261" s="29" t="s">
        <v>85</v>
      </c>
      <c r="F261" s="30" t="s">
        <v>662</v>
      </c>
      <c r="G261" s="31" t="e">
        <f>#REF!</f>
        <v>#REF!</v>
      </c>
    </row>
    <row r="262" s="4" customFormat="1" ht="36" hidden="1" spans="1:7">
      <c r="A262" s="26" t="s">
        <v>663</v>
      </c>
      <c r="B262" s="27" t="s">
        <v>82</v>
      </c>
      <c r="C262" s="28">
        <v>150</v>
      </c>
      <c r="D262" s="29" t="s">
        <v>84</v>
      </c>
      <c r="E262" s="29" t="s">
        <v>85</v>
      </c>
      <c r="F262" s="30" t="s">
        <v>662</v>
      </c>
      <c r="G262" s="31" t="e">
        <f>#REF!</f>
        <v>#REF!</v>
      </c>
    </row>
    <row r="263" s="4" customFormat="1" ht="36" hidden="1" spans="1:7">
      <c r="A263" s="26" t="s">
        <v>664</v>
      </c>
      <c r="B263" s="27" t="s">
        <v>82</v>
      </c>
      <c r="C263" s="28">
        <v>200</v>
      </c>
      <c r="D263" s="29" t="s">
        <v>84</v>
      </c>
      <c r="E263" s="29" t="s">
        <v>85</v>
      </c>
      <c r="F263" s="30" t="s">
        <v>662</v>
      </c>
      <c r="G263" s="31" t="e">
        <f>#REF!</f>
        <v>#REF!</v>
      </c>
    </row>
    <row r="264" s="4" customFormat="1" ht="36" hidden="1" spans="1:7">
      <c r="A264" s="26" t="s">
        <v>665</v>
      </c>
      <c r="B264" s="27" t="s">
        <v>82</v>
      </c>
      <c r="C264" s="28">
        <v>260</v>
      </c>
      <c r="D264" s="29" t="s">
        <v>84</v>
      </c>
      <c r="E264" s="29" t="s">
        <v>85</v>
      </c>
      <c r="F264" s="30" t="s">
        <v>662</v>
      </c>
      <c r="G264" s="31" t="e">
        <f>#REF!</f>
        <v>#REF!</v>
      </c>
    </row>
    <row r="265" s="4" customFormat="1" ht="36" hidden="1" spans="1:7">
      <c r="A265" s="26" t="s">
        <v>666</v>
      </c>
      <c r="B265" s="27" t="s">
        <v>22</v>
      </c>
      <c r="C265" s="28">
        <v>35</v>
      </c>
      <c r="D265" s="29" t="s">
        <v>62</v>
      </c>
      <c r="E265" s="29" t="s">
        <v>85</v>
      </c>
      <c r="F265" s="30" t="s">
        <v>662</v>
      </c>
      <c r="G265" s="31" t="e">
        <f>#REF!</f>
        <v>#REF!</v>
      </c>
    </row>
    <row r="266" s="4" customFormat="1" ht="60" hidden="1" spans="1:7">
      <c r="A266" s="26" t="s">
        <v>667</v>
      </c>
      <c r="B266" s="27" t="s">
        <v>64</v>
      </c>
      <c r="C266" s="28">
        <v>155</v>
      </c>
      <c r="D266" s="29" t="s">
        <v>343</v>
      </c>
      <c r="E266" s="29" t="s">
        <v>85</v>
      </c>
      <c r="F266" s="30" t="s">
        <v>668</v>
      </c>
      <c r="G266" s="31" t="e">
        <f>#REF!</f>
        <v>#REF!</v>
      </c>
    </row>
    <row r="267" s="4" customFormat="1" ht="60" hidden="1" spans="1:7">
      <c r="A267" s="26" t="s">
        <v>667</v>
      </c>
      <c r="B267" s="27" t="s">
        <v>22</v>
      </c>
      <c r="C267" s="28">
        <v>195</v>
      </c>
      <c r="D267" s="29" t="s">
        <v>343</v>
      </c>
      <c r="E267" s="29" t="s">
        <v>85</v>
      </c>
      <c r="F267" s="30" t="s">
        <v>668</v>
      </c>
      <c r="G267" s="31" t="e">
        <f>#REF!</f>
        <v>#REF!</v>
      </c>
    </row>
    <row r="268" s="4" customFormat="1" ht="36" hidden="1" spans="1:7">
      <c r="A268" s="26" t="s">
        <v>669</v>
      </c>
      <c r="B268" s="27" t="s">
        <v>64</v>
      </c>
      <c r="C268" s="28">
        <v>155</v>
      </c>
      <c r="D268" s="29" t="s">
        <v>343</v>
      </c>
      <c r="E268" s="29" t="s">
        <v>85</v>
      </c>
      <c r="F268" s="30" t="s">
        <v>670</v>
      </c>
      <c r="G268" s="31" t="e">
        <f>#REF!</f>
        <v>#REF!</v>
      </c>
    </row>
    <row r="269" s="4" customFormat="1" ht="48" hidden="1" spans="1:7">
      <c r="A269" s="26" t="s">
        <v>671</v>
      </c>
      <c r="B269" s="27" t="s">
        <v>92</v>
      </c>
      <c r="C269" s="28">
        <v>6</v>
      </c>
      <c r="D269" s="29" t="s">
        <v>203</v>
      </c>
      <c r="E269" s="29" t="s">
        <v>85</v>
      </c>
      <c r="F269" s="30" t="s">
        <v>672</v>
      </c>
      <c r="G269" s="31" t="e">
        <f>#REF!</f>
        <v>#REF!</v>
      </c>
    </row>
    <row r="270" s="4" customFormat="1" ht="36" hidden="1" spans="1:7">
      <c r="A270" s="26" t="s">
        <v>673</v>
      </c>
      <c r="B270" s="27" t="s">
        <v>82</v>
      </c>
      <c r="C270" s="28">
        <v>180</v>
      </c>
      <c r="D270" s="29" t="s">
        <v>84</v>
      </c>
      <c r="E270" s="29" t="s">
        <v>85</v>
      </c>
      <c r="F270" s="30" t="s">
        <v>674</v>
      </c>
      <c r="G270" s="31" t="e">
        <f>#REF!</f>
        <v>#REF!</v>
      </c>
    </row>
    <row r="271" s="4" customFormat="1" ht="48" hidden="1" spans="1:7">
      <c r="A271" s="26" t="s">
        <v>675</v>
      </c>
      <c r="B271" s="27" t="s">
        <v>92</v>
      </c>
      <c r="C271" s="28">
        <v>6</v>
      </c>
      <c r="D271" s="29" t="s">
        <v>203</v>
      </c>
      <c r="E271" s="29" t="s">
        <v>85</v>
      </c>
      <c r="F271" s="30" t="s">
        <v>676</v>
      </c>
      <c r="G271" s="31" t="e">
        <f>#REF!</f>
        <v>#REF!</v>
      </c>
    </row>
    <row r="272" s="4" customFormat="1" ht="24" hidden="1" spans="1:7">
      <c r="A272" s="26" t="s">
        <v>677</v>
      </c>
      <c r="B272" s="27" t="s">
        <v>64</v>
      </c>
      <c r="C272" s="28">
        <v>6</v>
      </c>
      <c r="D272" s="29" t="s">
        <v>343</v>
      </c>
      <c r="E272" s="29" t="s">
        <v>85</v>
      </c>
      <c r="F272" s="30" t="s">
        <v>678</v>
      </c>
      <c r="G272" s="31" t="e">
        <f>#REF!</f>
        <v>#REF!</v>
      </c>
    </row>
    <row r="273" s="4" customFormat="1" ht="48" hidden="1" spans="1:7">
      <c r="A273" s="26" t="s">
        <v>679</v>
      </c>
      <c r="B273" s="27" t="s">
        <v>92</v>
      </c>
      <c r="C273" s="28">
        <v>50</v>
      </c>
      <c r="D273" s="29" t="s">
        <v>203</v>
      </c>
      <c r="E273" s="29" t="s">
        <v>85</v>
      </c>
      <c r="F273" s="30" t="s">
        <v>676</v>
      </c>
      <c r="G273" s="31" t="e">
        <f>#REF!</f>
        <v>#REF!</v>
      </c>
    </row>
    <row r="274" s="4" customFormat="1" ht="48" hidden="1" spans="1:7">
      <c r="A274" s="26" t="s">
        <v>39</v>
      </c>
      <c r="B274" s="27" t="s">
        <v>22</v>
      </c>
      <c r="C274" s="28">
        <v>52</v>
      </c>
      <c r="D274" s="29" t="s">
        <v>221</v>
      </c>
      <c r="E274" s="29" t="s">
        <v>680</v>
      </c>
      <c r="F274" s="30" t="s">
        <v>681</v>
      </c>
      <c r="G274" s="31" t="e">
        <f>#REF!</f>
        <v>#REF!</v>
      </c>
    </row>
    <row r="275" s="4" customFormat="1" ht="48" hidden="1" spans="1:7">
      <c r="A275" s="26" t="s">
        <v>682</v>
      </c>
      <c r="B275" s="27" t="s">
        <v>22</v>
      </c>
      <c r="C275" s="28">
        <v>30</v>
      </c>
      <c r="D275" s="29" t="s">
        <v>221</v>
      </c>
      <c r="E275" s="29" t="s">
        <v>680</v>
      </c>
      <c r="F275" s="30" t="s">
        <v>681</v>
      </c>
      <c r="G275" s="31" t="e">
        <f>#REF!</f>
        <v>#REF!</v>
      </c>
    </row>
    <row r="276" s="4" customFormat="1" ht="48" hidden="1" spans="1:7">
      <c r="A276" s="26" t="s">
        <v>683</v>
      </c>
      <c r="B276" s="27" t="s">
        <v>22</v>
      </c>
      <c r="C276" s="28">
        <v>85</v>
      </c>
      <c r="D276" s="29" t="s">
        <v>221</v>
      </c>
      <c r="E276" s="29" t="s">
        <v>680</v>
      </c>
      <c r="F276" s="30" t="s">
        <v>681</v>
      </c>
      <c r="G276" s="31" t="e">
        <f>#REF!</f>
        <v>#REF!</v>
      </c>
    </row>
    <row r="277" s="4" customFormat="1" ht="48" hidden="1" spans="1:7">
      <c r="A277" s="26" t="s">
        <v>684</v>
      </c>
      <c r="B277" s="27" t="s">
        <v>22</v>
      </c>
      <c r="C277" s="28">
        <v>100</v>
      </c>
      <c r="D277" s="29" t="s">
        <v>221</v>
      </c>
      <c r="E277" s="29" t="s">
        <v>680</v>
      </c>
      <c r="F277" s="30" t="s">
        <v>681</v>
      </c>
      <c r="G277" s="31" t="e">
        <f>#REF!</f>
        <v>#REF!</v>
      </c>
    </row>
    <row r="278" s="4" customFormat="1" ht="36" hidden="1" spans="1:7">
      <c r="A278" s="26" t="s">
        <v>685</v>
      </c>
      <c r="B278" s="27" t="s">
        <v>22</v>
      </c>
      <c r="C278" s="28">
        <v>95</v>
      </c>
      <c r="D278" s="29" t="s">
        <v>221</v>
      </c>
      <c r="E278" s="29" t="s">
        <v>85</v>
      </c>
      <c r="F278" s="30" t="s">
        <v>686</v>
      </c>
      <c r="G278" s="31" t="e">
        <f>#REF!</f>
        <v>#REF!</v>
      </c>
    </row>
    <row r="279" s="4" customFormat="1" ht="48" hidden="1" spans="1:7">
      <c r="A279" s="26" t="s">
        <v>40</v>
      </c>
      <c r="B279" s="27" t="s">
        <v>64</v>
      </c>
      <c r="C279" s="28">
        <v>12</v>
      </c>
      <c r="D279" s="29" t="s">
        <v>343</v>
      </c>
      <c r="E279" s="29" t="s">
        <v>687</v>
      </c>
      <c r="F279" s="30" t="s">
        <v>688</v>
      </c>
      <c r="G279" s="31" t="e">
        <f>#REF!</f>
        <v>#REF!</v>
      </c>
    </row>
    <row r="280" s="4" customFormat="1" ht="84" hidden="1" spans="1:7">
      <c r="A280" s="26" t="s">
        <v>689</v>
      </c>
      <c r="B280" s="27" t="s">
        <v>22</v>
      </c>
      <c r="C280" s="28">
        <v>168</v>
      </c>
      <c r="D280" s="29" t="s">
        <v>62</v>
      </c>
      <c r="E280" s="29" t="s">
        <v>85</v>
      </c>
      <c r="F280" s="30" t="s">
        <v>690</v>
      </c>
      <c r="G280" s="31" t="e">
        <f>#REF!</f>
        <v>#REF!</v>
      </c>
    </row>
    <row r="281" s="4" customFormat="1" ht="84" hidden="1" spans="1:7">
      <c r="A281" s="26" t="s">
        <v>691</v>
      </c>
      <c r="B281" s="27" t="s">
        <v>22</v>
      </c>
      <c r="C281" s="28">
        <v>178</v>
      </c>
      <c r="D281" s="29" t="s">
        <v>62</v>
      </c>
      <c r="E281" s="29" t="s">
        <v>85</v>
      </c>
      <c r="F281" s="30" t="s">
        <v>690</v>
      </c>
      <c r="G281" s="31" t="e">
        <f>#REF!</f>
        <v>#REF!</v>
      </c>
    </row>
    <row r="282" s="4" customFormat="1" ht="84" hidden="1" spans="1:7">
      <c r="A282" s="26" t="s">
        <v>692</v>
      </c>
      <c r="B282" s="27" t="s">
        <v>22</v>
      </c>
      <c r="C282" s="28">
        <v>188</v>
      </c>
      <c r="D282" s="29" t="s">
        <v>62</v>
      </c>
      <c r="E282" s="29" t="s">
        <v>85</v>
      </c>
      <c r="F282" s="30" t="s">
        <v>690</v>
      </c>
      <c r="G282" s="31" t="e">
        <f>#REF!</f>
        <v>#REF!</v>
      </c>
    </row>
    <row r="283" s="4" customFormat="1" ht="84" hidden="1" spans="1:7">
      <c r="A283" s="26" t="s">
        <v>693</v>
      </c>
      <c r="B283" s="27" t="s">
        <v>694</v>
      </c>
      <c r="C283" s="28">
        <v>500</v>
      </c>
      <c r="D283" s="29" t="s">
        <v>84</v>
      </c>
      <c r="E283" s="29" t="s">
        <v>85</v>
      </c>
      <c r="F283" s="30" t="s">
        <v>690</v>
      </c>
      <c r="G283" s="31" t="e">
        <f>#REF!</f>
        <v>#REF!</v>
      </c>
    </row>
    <row r="284" s="4" customFormat="1" hidden="1" spans="1:7">
      <c r="A284" s="26" t="s">
        <v>695</v>
      </c>
      <c r="B284" s="27" t="s">
        <v>82</v>
      </c>
      <c r="C284" s="28">
        <v>60</v>
      </c>
      <c r="D284" s="29" t="s">
        <v>84</v>
      </c>
      <c r="E284" s="29" t="s">
        <v>85</v>
      </c>
      <c r="F284" s="30" t="s">
        <v>696</v>
      </c>
      <c r="G284" s="31" t="e">
        <f>#REF!</f>
        <v>#REF!</v>
      </c>
    </row>
    <row r="285" s="4" customFormat="1" ht="48" hidden="1" spans="1:7">
      <c r="A285" s="26" t="s">
        <v>697</v>
      </c>
      <c r="B285" s="27" t="s">
        <v>82</v>
      </c>
      <c r="C285" s="28">
        <v>60</v>
      </c>
      <c r="D285" s="29" t="s">
        <v>84</v>
      </c>
      <c r="E285" s="29" t="s">
        <v>85</v>
      </c>
      <c r="F285" s="30" t="s">
        <v>698</v>
      </c>
      <c r="G285" s="31" t="e">
        <f>#REF!</f>
        <v>#REF!</v>
      </c>
    </row>
    <row r="286" s="4" customFormat="1" ht="48" hidden="1" spans="1:7">
      <c r="A286" s="26" t="s">
        <v>699</v>
      </c>
      <c r="B286" s="27" t="s">
        <v>82</v>
      </c>
      <c r="C286" s="28">
        <v>480</v>
      </c>
      <c r="D286" s="29" t="s">
        <v>84</v>
      </c>
      <c r="E286" s="29" t="s">
        <v>85</v>
      </c>
      <c r="F286" s="30" t="s">
        <v>700</v>
      </c>
      <c r="G286" s="31" t="e">
        <f>#REF!</f>
        <v>#REF!</v>
      </c>
    </row>
    <row r="287" s="4" customFormat="1" ht="24" hidden="1" spans="1:7">
      <c r="A287" s="26" t="s">
        <v>701</v>
      </c>
      <c r="B287" s="27" t="s">
        <v>82</v>
      </c>
      <c r="C287" s="28">
        <v>150</v>
      </c>
      <c r="D287" s="29" t="s">
        <v>84</v>
      </c>
      <c r="E287" s="29" t="s">
        <v>85</v>
      </c>
      <c r="F287" s="30" t="s">
        <v>702</v>
      </c>
      <c r="G287" s="31" t="e">
        <f>#REF!</f>
        <v>#REF!</v>
      </c>
    </row>
    <row r="288" s="4" customFormat="1" ht="48" hidden="1" spans="1:7">
      <c r="A288" s="26" t="s">
        <v>703</v>
      </c>
      <c r="B288" s="27" t="s">
        <v>82</v>
      </c>
      <c r="C288" s="28">
        <v>100</v>
      </c>
      <c r="D288" s="29" t="s">
        <v>84</v>
      </c>
      <c r="E288" s="29" t="s">
        <v>85</v>
      </c>
      <c r="F288" s="30" t="s">
        <v>704</v>
      </c>
      <c r="G288" s="31" t="e">
        <f>#REF!</f>
        <v>#REF!</v>
      </c>
    </row>
    <row r="289" s="4" customFormat="1" ht="36" hidden="1" spans="1:7">
      <c r="A289" s="26" t="s">
        <v>705</v>
      </c>
      <c r="B289" s="27" t="s">
        <v>82</v>
      </c>
      <c r="C289" s="28">
        <v>100</v>
      </c>
      <c r="D289" s="29" t="s">
        <v>84</v>
      </c>
      <c r="E289" s="29" t="s">
        <v>85</v>
      </c>
      <c r="F289" s="30" t="s">
        <v>706</v>
      </c>
      <c r="G289" s="31" t="e">
        <f>#REF!</f>
        <v>#REF!</v>
      </c>
    </row>
    <row r="290" s="4" customFormat="1" hidden="1" spans="1:7">
      <c r="A290" s="26" t="s">
        <v>707</v>
      </c>
      <c r="B290" s="27" t="s">
        <v>82</v>
      </c>
      <c r="C290" s="28">
        <v>60</v>
      </c>
      <c r="D290" s="29" t="s">
        <v>84</v>
      </c>
      <c r="E290" s="29" t="s">
        <v>85</v>
      </c>
      <c r="F290" s="30" t="s">
        <v>708</v>
      </c>
      <c r="G290" s="31" t="e">
        <f>#REF!</f>
        <v>#REF!</v>
      </c>
    </row>
    <row r="291" s="4" customFormat="1" ht="60" hidden="1" spans="1:7">
      <c r="A291" s="26" t="s">
        <v>709</v>
      </c>
      <c r="B291" s="27" t="s">
        <v>82</v>
      </c>
      <c r="C291" s="28">
        <v>60</v>
      </c>
      <c r="D291" s="29" t="s">
        <v>84</v>
      </c>
      <c r="E291" s="29" t="s">
        <v>85</v>
      </c>
      <c r="F291" s="30" t="s">
        <v>710</v>
      </c>
      <c r="G291" s="31" t="e">
        <f>#REF!</f>
        <v>#REF!</v>
      </c>
    </row>
    <row r="292" s="4" customFormat="1" ht="60" hidden="1" spans="1:7">
      <c r="A292" s="26" t="s">
        <v>86</v>
      </c>
      <c r="B292" s="27" t="s">
        <v>82</v>
      </c>
      <c r="C292" s="28">
        <v>80</v>
      </c>
      <c r="D292" s="29" t="s">
        <v>84</v>
      </c>
      <c r="E292" s="29" t="s">
        <v>85</v>
      </c>
      <c r="F292" s="30" t="s">
        <v>711</v>
      </c>
      <c r="G292" s="31" t="e">
        <f>#REF!</f>
        <v>#REF!</v>
      </c>
    </row>
    <row r="293" s="4" customFormat="1" hidden="1" spans="1:7">
      <c r="A293" s="26" t="s">
        <v>712</v>
      </c>
      <c r="B293" s="27" t="s">
        <v>82</v>
      </c>
      <c r="C293" s="28">
        <v>20</v>
      </c>
      <c r="D293" s="29" t="s">
        <v>84</v>
      </c>
      <c r="E293" s="29" t="s">
        <v>85</v>
      </c>
      <c r="F293" s="30" t="s">
        <v>713</v>
      </c>
      <c r="G293" s="31" t="e">
        <f>#REF!</f>
        <v>#REF!</v>
      </c>
    </row>
    <row r="294" s="4" customFormat="1" hidden="1" spans="1:7">
      <c r="A294" s="26" t="s">
        <v>714</v>
      </c>
      <c r="B294" s="27" t="s">
        <v>82</v>
      </c>
      <c r="C294" s="28">
        <v>20</v>
      </c>
      <c r="D294" s="29" t="s">
        <v>84</v>
      </c>
      <c r="E294" s="29" t="s">
        <v>85</v>
      </c>
      <c r="F294" s="30" t="s">
        <v>713</v>
      </c>
      <c r="G294" s="31" t="e">
        <f>#REF!</f>
        <v>#REF!</v>
      </c>
    </row>
    <row r="295" s="4" customFormat="1" hidden="1" spans="1:7">
      <c r="A295" s="26" t="s">
        <v>715</v>
      </c>
      <c r="B295" s="27" t="s">
        <v>82</v>
      </c>
      <c r="C295" s="28">
        <v>20</v>
      </c>
      <c r="D295" s="29" t="s">
        <v>84</v>
      </c>
      <c r="E295" s="29" t="s">
        <v>85</v>
      </c>
      <c r="F295" s="30" t="s">
        <v>713</v>
      </c>
      <c r="G295" s="31" t="e">
        <f>#REF!</f>
        <v>#REF!</v>
      </c>
    </row>
    <row r="296" s="4" customFormat="1" hidden="1" spans="1:7">
      <c r="A296" s="26" t="s">
        <v>716</v>
      </c>
      <c r="B296" s="27" t="s">
        <v>82</v>
      </c>
      <c r="C296" s="28">
        <v>20</v>
      </c>
      <c r="D296" s="29" t="s">
        <v>84</v>
      </c>
      <c r="E296" s="29" t="s">
        <v>85</v>
      </c>
      <c r="F296" s="30" t="s">
        <v>713</v>
      </c>
      <c r="G296" s="31" t="e">
        <f>#REF!</f>
        <v>#REF!</v>
      </c>
    </row>
    <row r="297" s="4" customFormat="1" hidden="1" spans="1:7">
      <c r="A297" s="26" t="s">
        <v>717</v>
      </c>
      <c r="B297" s="27" t="s">
        <v>82</v>
      </c>
      <c r="C297" s="28">
        <v>20</v>
      </c>
      <c r="D297" s="29" t="s">
        <v>84</v>
      </c>
      <c r="E297" s="29" t="s">
        <v>85</v>
      </c>
      <c r="F297" s="30" t="s">
        <v>713</v>
      </c>
      <c r="G297" s="31" t="e">
        <f>#REF!</f>
        <v>#REF!</v>
      </c>
    </row>
    <row r="298" s="4" customFormat="1" hidden="1" spans="1:7">
      <c r="A298" s="26" t="s">
        <v>718</v>
      </c>
      <c r="B298" s="27" t="s">
        <v>82</v>
      </c>
      <c r="C298" s="28">
        <v>20</v>
      </c>
      <c r="D298" s="29" t="s">
        <v>84</v>
      </c>
      <c r="E298" s="29" t="s">
        <v>85</v>
      </c>
      <c r="F298" s="30" t="s">
        <v>713</v>
      </c>
      <c r="G298" s="31" t="e">
        <f>#REF!</f>
        <v>#REF!</v>
      </c>
    </row>
    <row r="299" s="4" customFormat="1" hidden="1" spans="1:7">
      <c r="A299" s="26" t="s">
        <v>719</v>
      </c>
      <c r="B299" s="27" t="s">
        <v>82</v>
      </c>
      <c r="C299" s="28">
        <v>20</v>
      </c>
      <c r="D299" s="29" t="s">
        <v>84</v>
      </c>
      <c r="E299" s="29" t="s">
        <v>85</v>
      </c>
      <c r="F299" s="30" t="s">
        <v>720</v>
      </c>
      <c r="G299" s="31" t="e">
        <f>#REF!</f>
        <v>#REF!</v>
      </c>
    </row>
    <row r="300" s="4" customFormat="1" ht="24" hidden="1" spans="1:7">
      <c r="A300" s="26" t="s">
        <v>721</v>
      </c>
      <c r="B300" s="27" t="s">
        <v>82</v>
      </c>
      <c r="C300" s="28">
        <v>20</v>
      </c>
      <c r="D300" s="29" t="s">
        <v>84</v>
      </c>
      <c r="E300" s="29" t="s">
        <v>85</v>
      </c>
      <c r="F300" s="30" t="s">
        <v>722</v>
      </c>
      <c r="G300" s="31" t="e">
        <f>#REF!</f>
        <v>#REF!</v>
      </c>
    </row>
    <row r="301" s="4" customFormat="1" hidden="1" spans="1:7">
      <c r="A301" s="26" t="s">
        <v>723</v>
      </c>
      <c r="B301" s="27" t="s">
        <v>82</v>
      </c>
      <c r="C301" s="28">
        <v>20</v>
      </c>
      <c r="D301" s="29" t="s">
        <v>84</v>
      </c>
      <c r="E301" s="29" t="s">
        <v>85</v>
      </c>
      <c r="F301" s="30" t="s">
        <v>713</v>
      </c>
      <c r="G301" s="31" t="e">
        <f>#REF!</f>
        <v>#REF!</v>
      </c>
    </row>
    <row r="302" s="4" customFormat="1" hidden="1" spans="1:7">
      <c r="A302" s="26" t="s">
        <v>724</v>
      </c>
      <c r="B302" s="27" t="s">
        <v>82</v>
      </c>
      <c r="C302" s="28">
        <v>0</v>
      </c>
      <c r="D302" s="29" t="s">
        <v>84</v>
      </c>
      <c r="E302" s="29" t="s">
        <v>85</v>
      </c>
      <c r="F302" s="30" t="s">
        <v>713</v>
      </c>
      <c r="G302" s="31" t="e">
        <f>#REF!</f>
        <v>#REF!</v>
      </c>
    </row>
    <row r="303" s="4" customFormat="1" ht="60" hidden="1" spans="1:7">
      <c r="A303" s="26" t="s">
        <v>725</v>
      </c>
      <c r="B303" s="27" t="s">
        <v>82</v>
      </c>
      <c r="C303" s="28">
        <v>168</v>
      </c>
      <c r="D303" s="29" t="s">
        <v>84</v>
      </c>
      <c r="E303" s="29" t="s">
        <v>85</v>
      </c>
      <c r="F303" s="30" t="s">
        <v>726</v>
      </c>
      <c r="G303" s="31" t="e">
        <f>#REF!</f>
        <v>#REF!</v>
      </c>
    </row>
    <row r="304" s="4" customFormat="1" hidden="1" spans="1:7">
      <c r="A304" s="26" t="s">
        <v>725</v>
      </c>
      <c r="B304" s="27" t="s">
        <v>82</v>
      </c>
      <c r="C304" s="28">
        <v>0</v>
      </c>
      <c r="D304" s="29" t="s">
        <v>84</v>
      </c>
      <c r="E304" s="29" t="s">
        <v>85</v>
      </c>
      <c r="F304" s="30" t="s">
        <v>85</v>
      </c>
      <c r="G304" s="31" t="e">
        <f>#REF!</f>
        <v>#REF!</v>
      </c>
    </row>
    <row r="305" s="4" customFormat="1" ht="72" hidden="1" spans="1:7">
      <c r="A305" s="26" t="s">
        <v>54</v>
      </c>
      <c r="B305" s="27" t="s">
        <v>82</v>
      </c>
      <c r="C305" s="28">
        <v>288</v>
      </c>
      <c r="D305" s="29" t="s">
        <v>84</v>
      </c>
      <c r="E305" s="29" t="s">
        <v>727</v>
      </c>
      <c r="F305" s="30" t="s">
        <v>728</v>
      </c>
      <c r="G305" s="31" t="e">
        <f>#REF!</f>
        <v>#REF!</v>
      </c>
    </row>
    <row r="306" s="4" customFormat="1" ht="36" hidden="1" spans="1:7">
      <c r="A306" s="26" t="s">
        <v>729</v>
      </c>
      <c r="B306" s="27" t="s">
        <v>64</v>
      </c>
      <c r="C306" s="28">
        <v>68</v>
      </c>
      <c r="D306" s="29" t="s">
        <v>343</v>
      </c>
      <c r="E306" s="29" t="s">
        <v>730</v>
      </c>
      <c r="F306" s="30" t="s">
        <v>731</v>
      </c>
      <c r="G306" s="31" t="e">
        <f>#REF!</f>
        <v>#REF!</v>
      </c>
    </row>
    <row r="307" s="4" customFormat="1" ht="60" hidden="1" spans="1:7">
      <c r="A307" s="26" t="s">
        <v>732</v>
      </c>
      <c r="B307" s="27" t="s">
        <v>82</v>
      </c>
      <c r="C307" s="28">
        <v>300</v>
      </c>
      <c r="D307" s="29" t="s">
        <v>84</v>
      </c>
      <c r="E307" s="29" t="s">
        <v>733</v>
      </c>
      <c r="F307" s="30" t="s">
        <v>734</v>
      </c>
      <c r="G307" s="31" t="e">
        <f>#REF!</f>
        <v>#REF!</v>
      </c>
    </row>
    <row r="308" s="4" customFormat="1" ht="72" hidden="1" spans="1:7">
      <c r="A308" s="26" t="s">
        <v>735</v>
      </c>
      <c r="B308" s="27" t="s">
        <v>82</v>
      </c>
      <c r="C308" s="28">
        <v>345</v>
      </c>
      <c r="D308" s="29" t="s">
        <v>84</v>
      </c>
      <c r="E308" s="29" t="s">
        <v>727</v>
      </c>
      <c r="F308" s="30" t="s">
        <v>728</v>
      </c>
      <c r="G308" s="31" t="e">
        <f>#REF!</f>
        <v>#REF!</v>
      </c>
    </row>
    <row r="309" s="4" customFormat="1" ht="72" hidden="1" spans="1:7">
      <c r="A309" s="26" t="s">
        <v>736</v>
      </c>
      <c r="B309" s="27" t="s">
        <v>82</v>
      </c>
      <c r="C309" s="28">
        <v>388</v>
      </c>
      <c r="D309" s="29" t="s">
        <v>84</v>
      </c>
      <c r="E309" s="29" t="s">
        <v>737</v>
      </c>
      <c r="F309" s="30" t="s">
        <v>728</v>
      </c>
      <c r="G309" s="31" t="e">
        <f>#REF!</f>
        <v>#REF!</v>
      </c>
    </row>
    <row r="310" s="4" customFormat="1" ht="72" hidden="1" spans="1:7">
      <c r="A310" s="26" t="s">
        <v>738</v>
      </c>
      <c r="B310" s="27" t="s">
        <v>82</v>
      </c>
      <c r="C310" s="28">
        <v>488</v>
      </c>
      <c r="D310" s="29" t="s">
        <v>84</v>
      </c>
      <c r="E310" s="29" t="s">
        <v>737</v>
      </c>
      <c r="F310" s="30" t="s">
        <v>728</v>
      </c>
      <c r="G310" s="31" t="e">
        <f>#REF!</f>
        <v>#REF!</v>
      </c>
    </row>
    <row r="311" s="4" customFormat="1" ht="48" hidden="1" spans="1:7">
      <c r="A311" s="26" t="s">
        <v>739</v>
      </c>
      <c r="B311" s="27" t="s">
        <v>82</v>
      </c>
      <c r="C311" s="28">
        <v>255</v>
      </c>
      <c r="D311" s="29" t="s">
        <v>84</v>
      </c>
      <c r="E311" s="29" t="s">
        <v>740</v>
      </c>
      <c r="F311" s="30" t="s">
        <v>741</v>
      </c>
      <c r="G311" s="31" t="e">
        <f>#REF!</f>
        <v>#REF!</v>
      </c>
    </row>
    <row r="312" s="4" customFormat="1" ht="48" hidden="1" spans="1:7">
      <c r="A312" s="26" t="s">
        <v>742</v>
      </c>
      <c r="B312" s="27" t="s">
        <v>82</v>
      </c>
      <c r="C312" s="28">
        <v>335</v>
      </c>
      <c r="D312" s="29" t="s">
        <v>84</v>
      </c>
      <c r="E312" s="29" t="s">
        <v>740</v>
      </c>
      <c r="F312" s="30" t="s">
        <v>743</v>
      </c>
      <c r="G312" s="31" t="e">
        <f>#REF!</f>
        <v>#REF!</v>
      </c>
    </row>
    <row r="313" s="4" customFormat="1" ht="48" hidden="1" spans="1:7">
      <c r="A313" s="26" t="s">
        <v>744</v>
      </c>
      <c r="B313" s="27" t="s">
        <v>82</v>
      </c>
      <c r="C313" s="28">
        <v>465</v>
      </c>
      <c r="D313" s="29" t="s">
        <v>84</v>
      </c>
      <c r="E313" s="29" t="s">
        <v>740</v>
      </c>
      <c r="F313" s="30" t="s">
        <v>743</v>
      </c>
      <c r="G313" s="31" t="e">
        <f>#REF!</f>
        <v>#REF!</v>
      </c>
    </row>
    <row r="314" s="4" customFormat="1" ht="48" hidden="1" spans="1:7">
      <c r="A314" s="26" t="s">
        <v>745</v>
      </c>
      <c r="B314" s="27" t="s">
        <v>82</v>
      </c>
      <c r="C314" s="28">
        <v>560</v>
      </c>
      <c r="D314" s="29" t="s">
        <v>84</v>
      </c>
      <c r="E314" s="29" t="s">
        <v>740</v>
      </c>
      <c r="F314" s="30" t="s">
        <v>743</v>
      </c>
      <c r="G314" s="31" t="e">
        <f>#REF!</f>
        <v>#REF!</v>
      </c>
    </row>
    <row r="315" s="4" customFormat="1" ht="48" hidden="1" spans="1:7">
      <c r="A315" s="26" t="s">
        <v>746</v>
      </c>
      <c r="B315" s="27" t="s">
        <v>82</v>
      </c>
      <c r="C315" s="28">
        <v>485</v>
      </c>
      <c r="D315" s="29" t="s">
        <v>84</v>
      </c>
      <c r="E315" s="29" t="s">
        <v>740</v>
      </c>
      <c r="F315" s="30" t="s">
        <v>743</v>
      </c>
      <c r="G315" s="31" t="e">
        <f>#REF!</f>
        <v>#REF!</v>
      </c>
    </row>
    <row r="316" s="4" customFormat="1" ht="24" hidden="1" spans="1:7">
      <c r="A316" s="26" t="s">
        <v>747</v>
      </c>
      <c r="B316" s="27" t="s">
        <v>22</v>
      </c>
      <c r="C316" s="28">
        <v>128</v>
      </c>
      <c r="D316" s="29" t="s">
        <v>748</v>
      </c>
      <c r="E316" s="29" t="s">
        <v>85</v>
      </c>
      <c r="F316" s="30" t="s">
        <v>749</v>
      </c>
      <c r="G316" s="31" t="e">
        <f>#REF!</f>
        <v>#REF!</v>
      </c>
    </row>
    <row r="317" s="4" customFormat="1" ht="24" hidden="1" spans="1:7">
      <c r="A317" s="26" t="s">
        <v>750</v>
      </c>
      <c r="B317" s="27" t="s">
        <v>22</v>
      </c>
      <c r="C317" s="28">
        <v>499</v>
      </c>
      <c r="D317" s="29" t="s">
        <v>748</v>
      </c>
      <c r="E317" s="29" t="s">
        <v>751</v>
      </c>
      <c r="F317" s="30" t="s">
        <v>749</v>
      </c>
      <c r="G317" s="31" t="e">
        <f>#REF!</f>
        <v>#REF!</v>
      </c>
    </row>
    <row r="318" s="4" customFormat="1" ht="24" hidden="1" spans="1:7">
      <c r="A318" s="26" t="s">
        <v>752</v>
      </c>
      <c r="B318" s="27" t="s">
        <v>64</v>
      </c>
      <c r="C318" s="28">
        <v>17</v>
      </c>
      <c r="D318" s="29" t="s">
        <v>343</v>
      </c>
      <c r="E318" s="29" t="s">
        <v>85</v>
      </c>
      <c r="F318" s="30" t="s">
        <v>753</v>
      </c>
      <c r="G318" s="31" t="e">
        <f>#REF!</f>
        <v>#REF!</v>
      </c>
    </row>
    <row r="319" s="4" customFormat="1" ht="48" hidden="1" spans="1:7">
      <c r="A319" s="26" t="s">
        <v>58</v>
      </c>
      <c r="B319" s="27" t="s">
        <v>64</v>
      </c>
      <c r="C319" s="28">
        <v>90</v>
      </c>
      <c r="D319" s="29" t="s">
        <v>754</v>
      </c>
      <c r="E319" s="29" t="s">
        <v>85</v>
      </c>
      <c r="F319" s="30" t="s">
        <v>755</v>
      </c>
      <c r="G319" s="31" t="e">
        <f>#REF!</f>
        <v>#REF!</v>
      </c>
    </row>
    <row r="320" s="4" customFormat="1" ht="56" hidden="1" spans="1:7">
      <c r="A320" s="26" t="s">
        <v>756</v>
      </c>
      <c r="B320" s="27" t="s">
        <v>64</v>
      </c>
      <c r="C320" s="28">
        <v>60</v>
      </c>
      <c r="D320" s="29" t="s">
        <v>757</v>
      </c>
      <c r="E320" s="29" t="s">
        <v>85</v>
      </c>
      <c r="F320" s="30" t="s">
        <v>758</v>
      </c>
      <c r="G320" s="31" t="e">
        <f>#REF!</f>
        <v>#REF!</v>
      </c>
    </row>
    <row r="321" s="4" customFormat="1" ht="36" hidden="1" spans="1:7">
      <c r="A321" s="26" t="s">
        <v>47</v>
      </c>
      <c r="B321" s="27" t="s">
        <v>64</v>
      </c>
      <c r="C321" s="28">
        <v>145</v>
      </c>
      <c r="D321" s="29" t="s">
        <v>343</v>
      </c>
      <c r="E321" s="29" t="s">
        <v>85</v>
      </c>
      <c r="F321" s="30" t="s">
        <v>759</v>
      </c>
      <c r="G321" s="31" t="e">
        <f>#REF!</f>
        <v>#REF!</v>
      </c>
    </row>
    <row r="322" s="4" customFormat="1" ht="72" hidden="1" spans="1:7">
      <c r="A322" s="26" t="s">
        <v>760</v>
      </c>
      <c r="B322" s="27" t="s">
        <v>22</v>
      </c>
      <c r="C322" s="28">
        <v>165</v>
      </c>
      <c r="D322" s="29" t="s">
        <v>221</v>
      </c>
      <c r="E322" s="29" t="s">
        <v>761</v>
      </c>
      <c r="F322" s="30" t="s">
        <v>762</v>
      </c>
      <c r="G322" s="31" t="e">
        <f>#REF!</f>
        <v>#REF!</v>
      </c>
    </row>
    <row r="323" ht="48" hidden="1" spans="1:7">
      <c r="A323" s="34" t="s">
        <v>763</v>
      </c>
      <c r="B323" s="35" t="s">
        <v>64</v>
      </c>
      <c r="C323" s="28" t="s">
        <v>764</v>
      </c>
      <c r="D323" s="29" t="s">
        <v>765</v>
      </c>
      <c r="E323" s="29" t="s">
        <v>766</v>
      </c>
      <c r="F323" s="30" t="s">
        <v>767</v>
      </c>
      <c r="G323" s="31" t="e">
        <f>#REF!</f>
        <v>#REF!</v>
      </c>
    </row>
    <row r="324" ht="36" hidden="1" spans="1:7">
      <c r="A324" s="34" t="s">
        <v>100</v>
      </c>
      <c r="B324" s="35" t="s">
        <v>22</v>
      </c>
      <c r="C324" s="28">
        <v>8</v>
      </c>
      <c r="D324" s="29" t="s">
        <v>120</v>
      </c>
      <c r="E324" s="29" t="s">
        <v>768</v>
      </c>
      <c r="F324" s="30" t="s">
        <v>769</v>
      </c>
      <c r="G324" s="31" t="e">
        <f>#REF!</f>
        <v>#REF!</v>
      </c>
    </row>
    <row r="325" ht="42" hidden="1" spans="1:7">
      <c r="A325" s="34" t="s">
        <v>770</v>
      </c>
      <c r="B325" s="35" t="s">
        <v>22</v>
      </c>
      <c r="C325" s="28">
        <v>10</v>
      </c>
      <c r="D325" s="29" t="s">
        <v>771</v>
      </c>
      <c r="E325" s="29" t="s">
        <v>772</v>
      </c>
      <c r="F325" s="30" t="s">
        <v>773</v>
      </c>
      <c r="G325" s="31" t="e">
        <f>#REF!</f>
        <v>#REF!</v>
      </c>
    </row>
    <row r="326" ht="98" hidden="1" spans="1:7">
      <c r="A326" s="34" t="s">
        <v>774</v>
      </c>
      <c r="B326" s="35" t="s">
        <v>775</v>
      </c>
      <c r="C326" s="28">
        <v>1400</v>
      </c>
      <c r="D326" s="29" t="s">
        <v>776</v>
      </c>
      <c r="E326" s="29" t="s">
        <v>777</v>
      </c>
      <c r="F326" s="30" t="s">
        <v>778</v>
      </c>
      <c r="G326" s="31" t="e">
        <f>#REF!</f>
        <v>#REF!</v>
      </c>
    </row>
    <row r="327" ht="98" hidden="1" spans="1:7">
      <c r="A327" s="34" t="s">
        <v>104</v>
      </c>
      <c r="B327" s="35" t="s">
        <v>775</v>
      </c>
      <c r="C327" s="28">
        <v>1400</v>
      </c>
      <c r="D327" s="29" t="s">
        <v>776</v>
      </c>
      <c r="E327" s="29" t="s">
        <v>777</v>
      </c>
      <c r="F327" s="30" t="s">
        <v>778</v>
      </c>
      <c r="G327" s="31" t="e">
        <f>#REF!</f>
        <v>#REF!</v>
      </c>
    </row>
    <row r="328" ht="42" hidden="1" spans="1:7">
      <c r="A328" s="34" t="s">
        <v>102</v>
      </c>
      <c r="B328" s="35" t="s">
        <v>22</v>
      </c>
      <c r="C328" s="28">
        <v>6</v>
      </c>
      <c r="D328" s="29" t="s">
        <v>779</v>
      </c>
      <c r="E328" s="29" t="s">
        <v>780</v>
      </c>
      <c r="F328" s="30" t="s">
        <v>781</v>
      </c>
      <c r="G328" s="31" t="e">
        <f>#REF!</f>
        <v>#REF!</v>
      </c>
    </row>
    <row r="329" ht="42" hidden="1" spans="1:7">
      <c r="A329" s="34" t="s">
        <v>782</v>
      </c>
      <c r="B329" s="35" t="s">
        <v>22</v>
      </c>
      <c r="C329" s="28">
        <v>12</v>
      </c>
      <c r="D329" s="29" t="s">
        <v>779</v>
      </c>
      <c r="E329" s="29" t="s">
        <v>780</v>
      </c>
      <c r="F329" s="30" t="s">
        <v>781</v>
      </c>
      <c r="G329" s="31" t="e">
        <f>#REF!</f>
        <v>#REF!</v>
      </c>
    </row>
    <row r="330" ht="42" hidden="1" spans="1:7">
      <c r="A330" s="34" t="s">
        <v>783</v>
      </c>
      <c r="B330" s="35" t="s">
        <v>22</v>
      </c>
      <c r="C330" s="28">
        <v>18</v>
      </c>
      <c r="D330" s="29" t="s">
        <v>779</v>
      </c>
      <c r="E330" s="29" t="s">
        <v>780</v>
      </c>
      <c r="F330" s="30" t="s">
        <v>781</v>
      </c>
      <c r="G330" s="31" t="e">
        <f>#REF!</f>
        <v>#REF!</v>
      </c>
    </row>
    <row r="331" ht="98" hidden="1" spans="1:7">
      <c r="A331" s="34" t="s">
        <v>105</v>
      </c>
      <c r="B331" s="35" t="s">
        <v>775</v>
      </c>
      <c r="C331" s="28">
        <v>400</v>
      </c>
      <c r="D331" s="29" t="s">
        <v>776</v>
      </c>
      <c r="E331" s="29" t="s">
        <v>784</v>
      </c>
      <c r="F331" s="30" t="s">
        <v>785</v>
      </c>
      <c r="G331" s="31" t="e">
        <f>#REF!</f>
        <v>#REF!</v>
      </c>
    </row>
    <row r="332" s="4" customFormat="1" ht="96" hidden="1" spans="1:7">
      <c r="A332" s="26" t="s">
        <v>98</v>
      </c>
      <c r="B332" s="27" t="s">
        <v>22</v>
      </c>
      <c r="C332" s="28">
        <v>7</v>
      </c>
      <c r="D332" s="29" t="s">
        <v>120</v>
      </c>
      <c r="E332" s="29" t="s">
        <v>786</v>
      </c>
      <c r="F332" s="30" t="s">
        <v>787</v>
      </c>
      <c r="G332" s="31" t="e">
        <f>#REF!</f>
        <v>#REF!</v>
      </c>
    </row>
    <row r="333" s="4" customFormat="1" ht="120" hidden="1" spans="1:7">
      <c r="A333" s="26" t="s">
        <v>101</v>
      </c>
      <c r="B333" s="27" t="s">
        <v>22</v>
      </c>
      <c r="C333" s="28">
        <v>7</v>
      </c>
      <c r="D333" s="29" t="s">
        <v>120</v>
      </c>
      <c r="E333" s="29" t="s">
        <v>788</v>
      </c>
      <c r="F333" s="30" t="s">
        <v>789</v>
      </c>
      <c r="G333" s="31" t="e">
        <f>#REF!</f>
        <v>#REF!</v>
      </c>
    </row>
    <row r="334" ht="28" hidden="1" spans="1:7">
      <c r="A334" s="34" t="s">
        <v>790</v>
      </c>
      <c r="B334" s="35" t="s">
        <v>64</v>
      </c>
      <c r="C334" s="28">
        <v>249</v>
      </c>
      <c r="D334" s="29" t="s">
        <v>343</v>
      </c>
      <c r="E334" s="29" t="s">
        <v>791</v>
      </c>
      <c r="F334" s="30" t="s">
        <v>792</v>
      </c>
      <c r="G334" s="31" t="e">
        <f>#REF!</f>
        <v>#REF!</v>
      </c>
    </row>
    <row r="335" s="4" customFormat="1" ht="56" hidden="1" spans="1:7">
      <c r="A335" s="26" t="s">
        <v>793</v>
      </c>
      <c r="B335" s="27" t="s">
        <v>165</v>
      </c>
      <c r="C335" s="28">
        <v>3000</v>
      </c>
      <c r="D335" s="29" t="s">
        <v>794</v>
      </c>
      <c r="E335" s="29" t="s">
        <v>795</v>
      </c>
      <c r="F335" s="30" t="s">
        <v>795</v>
      </c>
      <c r="G335" s="31" t="e">
        <f>#REF!</f>
        <v>#REF!</v>
      </c>
    </row>
    <row r="336" spans="1:7">
      <c r="A336" s="32" t="s">
        <v>796</v>
      </c>
      <c r="B336" s="33" t="s">
        <v>80</v>
      </c>
      <c r="C336" s="28"/>
      <c r="D336" s="29"/>
      <c r="E336" s="29" t="s">
        <v>797</v>
      </c>
      <c r="F336" s="30" t="s">
        <v>371</v>
      </c>
      <c r="G336" s="31" t="e">
        <f>#REF!</f>
        <v>#REF!</v>
      </c>
    </row>
    <row r="337" ht="28" spans="1:7">
      <c r="A337" s="32" t="s">
        <v>107</v>
      </c>
      <c r="B337" s="33" t="s">
        <v>80</v>
      </c>
      <c r="C337" s="28"/>
      <c r="D337" s="29" t="s">
        <v>798</v>
      </c>
      <c r="E337" s="29" t="s">
        <v>797</v>
      </c>
      <c r="F337" s="30" t="s">
        <v>371</v>
      </c>
      <c r="G337" s="31" t="e">
        <f>#REF!</f>
        <v>#REF!</v>
      </c>
    </row>
    <row r="338" s="4" customFormat="1" ht="70" spans="1:7">
      <c r="A338" s="26" t="s">
        <v>106</v>
      </c>
      <c r="B338" s="27" t="s">
        <v>80</v>
      </c>
      <c r="C338" s="28"/>
      <c r="D338" s="29" t="s">
        <v>799</v>
      </c>
      <c r="E338" s="29" t="s">
        <v>800</v>
      </c>
      <c r="F338" s="30" t="s">
        <v>801</v>
      </c>
      <c r="G338" s="31" t="e">
        <f>#REF!</f>
        <v>#REF!</v>
      </c>
    </row>
    <row r="339" s="4" customFormat="1" ht="70" spans="1:7">
      <c r="A339" s="26" t="s">
        <v>802</v>
      </c>
      <c r="B339" s="27" t="s">
        <v>80</v>
      </c>
      <c r="C339" s="28"/>
      <c r="D339" s="29" t="s">
        <v>799</v>
      </c>
      <c r="E339" s="29" t="s">
        <v>800</v>
      </c>
      <c r="F339" s="30" t="s">
        <v>801</v>
      </c>
      <c r="G339" s="31" t="e">
        <f>#REF!</f>
        <v>#REF!</v>
      </c>
    </row>
    <row r="340" s="4" customFormat="1" ht="70" spans="1:7">
      <c r="A340" s="26" t="s">
        <v>803</v>
      </c>
      <c r="B340" s="27" t="s">
        <v>80</v>
      </c>
      <c r="C340" s="28"/>
      <c r="D340" s="29" t="s">
        <v>799</v>
      </c>
      <c r="E340" s="29" t="s">
        <v>800</v>
      </c>
      <c r="F340" s="30" t="s">
        <v>801</v>
      </c>
      <c r="G340" s="31" t="e">
        <f>#REF!</f>
        <v>#REF!</v>
      </c>
    </row>
    <row r="341" ht="98" hidden="1" spans="1:7">
      <c r="A341" s="32" t="s">
        <v>108</v>
      </c>
      <c r="B341" s="33" t="s">
        <v>80</v>
      </c>
      <c r="C341" s="28">
        <v>0</v>
      </c>
      <c r="D341" s="29" t="s">
        <v>804</v>
      </c>
      <c r="E341" s="29" t="s">
        <v>805</v>
      </c>
      <c r="F341" s="30" t="s">
        <v>371</v>
      </c>
      <c r="G341" s="31" t="e">
        <f>#REF!</f>
        <v>#REF!</v>
      </c>
    </row>
    <row r="342" ht="140" hidden="1" spans="1:7">
      <c r="A342" s="32" t="s">
        <v>806</v>
      </c>
      <c r="B342" s="33" t="s">
        <v>80</v>
      </c>
      <c r="C342" s="28">
        <v>7000</v>
      </c>
      <c r="D342" s="29" t="s">
        <v>807</v>
      </c>
      <c r="E342" s="29" t="s">
        <v>805</v>
      </c>
      <c r="F342" s="30" t="s">
        <v>371</v>
      </c>
      <c r="G342" s="31" t="e">
        <f>#REF!</f>
        <v>#REF!</v>
      </c>
    </row>
    <row r="343" ht="140" hidden="1" spans="1:7">
      <c r="A343" s="32" t="s">
        <v>808</v>
      </c>
      <c r="B343" s="33" t="s">
        <v>80</v>
      </c>
      <c r="C343" s="28">
        <v>30000</v>
      </c>
      <c r="D343" s="29" t="s">
        <v>809</v>
      </c>
      <c r="E343" s="29" t="s">
        <v>805</v>
      </c>
      <c r="F343" s="30" t="s">
        <v>371</v>
      </c>
      <c r="G343" s="31" t="e">
        <f>#REF!</f>
        <v>#REF!</v>
      </c>
    </row>
    <row r="344" ht="112" hidden="1" spans="1:7">
      <c r="A344" s="32" t="s">
        <v>810</v>
      </c>
      <c r="B344" s="33" t="s">
        <v>80</v>
      </c>
      <c r="C344" s="28">
        <v>50000</v>
      </c>
      <c r="D344" s="29" t="s">
        <v>811</v>
      </c>
      <c r="E344" s="29" t="s">
        <v>805</v>
      </c>
      <c r="F344" s="30" t="s">
        <v>371</v>
      </c>
      <c r="G344" s="31" t="e">
        <f>#REF!</f>
        <v>#REF!</v>
      </c>
    </row>
    <row r="345" ht="154" hidden="1" spans="1:7">
      <c r="A345" s="32" t="s">
        <v>812</v>
      </c>
      <c r="B345" s="33" t="s">
        <v>80</v>
      </c>
      <c r="C345" s="28">
        <v>80000</v>
      </c>
      <c r="D345" s="29" t="s">
        <v>813</v>
      </c>
      <c r="E345" s="29" t="s">
        <v>805</v>
      </c>
      <c r="F345" s="30" t="s">
        <v>371</v>
      </c>
      <c r="G345" s="31" t="e">
        <f>#REF!</f>
        <v>#REF!</v>
      </c>
    </row>
    <row r="346" ht="56" hidden="1" spans="1:7">
      <c r="A346" s="34" t="s">
        <v>814</v>
      </c>
      <c r="B346" s="41" t="s">
        <v>815</v>
      </c>
      <c r="C346" s="28">
        <v>400</v>
      </c>
      <c r="D346" s="29" t="s">
        <v>816</v>
      </c>
      <c r="E346" s="29" t="s">
        <v>817</v>
      </c>
      <c r="F346" s="30" t="s">
        <v>818</v>
      </c>
      <c r="G346" s="31" t="e">
        <f>#REF!</f>
        <v>#REF!</v>
      </c>
    </row>
    <row r="347" ht="56" hidden="1" spans="1:7">
      <c r="A347" s="40" t="s">
        <v>819</v>
      </c>
      <c r="B347" s="41" t="s">
        <v>815</v>
      </c>
      <c r="C347" s="28">
        <v>300</v>
      </c>
      <c r="D347" s="29" t="s">
        <v>816</v>
      </c>
      <c r="E347" s="29" t="s">
        <v>820</v>
      </c>
      <c r="F347" s="30" t="s">
        <v>821</v>
      </c>
      <c r="G347" s="31" t="e">
        <f>#REF!</f>
        <v>#REF!</v>
      </c>
    </row>
    <row r="348" ht="56" hidden="1" spans="1:7">
      <c r="A348" s="40" t="s">
        <v>822</v>
      </c>
      <c r="B348" s="41" t="s">
        <v>815</v>
      </c>
      <c r="C348" s="28">
        <v>400</v>
      </c>
      <c r="D348" s="29" t="s">
        <v>816</v>
      </c>
      <c r="E348" s="29" t="s">
        <v>820</v>
      </c>
      <c r="F348" s="30" t="s">
        <v>821</v>
      </c>
      <c r="G348" s="31" t="e">
        <f>#REF!</f>
        <v>#REF!</v>
      </c>
    </row>
    <row r="349" ht="56" hidden="1" spans="1:7">
      <c r="A349" s="40" t="s">
        <v>823</v>
      </c>
      <c r="B349" s="41" t="s">
        <v>815</v>
      </c>
      <c r="C349" s="28">
        <v>400</v>
      </c>
      <c r="D349" s="29" t="s">
        <v>816</v>
      </c>
      <c r="E349" s="29" t="s">
        <v>820</v>
      </c>
      <c r="F349" s="30" t="s">
        <v>821</v>
      </c>
      <c r="G349" s="31" t="e">
        <f>#REF!</f>
        <v>#REF!</v>
      </c>
    </row>
    <row r="350" ht="56" hidden="1" spans="1:7">
      <c r="A350" s="40" t="s">
        <v>824</v>
      </c>
      <c r="B350" s="41" t="s">
        <v>815</v>
      </c>
      <c r="C350" s="28">
        <v>400</v>
      </c>
      <c r="D350" s="29" t="s">
        <v>816</v>
      </c>
      <c r="E350" s="29" t="s">
        <v>820</v>
      </c>
      <c r="F350" s="30" t="s">
        <v>821</v>
      </c>
      <c r="G350" s="31" t="e">
        <f>#REF!</f>
        <v>#REF!</v>
      </c>
    </row>
    <row r="351" ht="56" hidden="1" spans="1:7">
      <c r="A351" s="40" t="s">
        <v>825</v>
      </c>
      <c r="B351" s="41" t="s">
        <v>815</v>
      </c>
      <c r="C351" s="28">
        <v>400</v>
      </c>
      <c r="D351" s="29" t="s">
        <v>816</v>
      </c>
      <c r="E351" s="29" t="s">
        <v>820</v>
      </c>
      <c r="F351" s="30" t="s">
        <v>821</v>
      </c>
      <c r="G351" s="31" t="e">
        <f>#REF!</f>
        <v>#REF!</v>
      </c>
    </row>
    <row r="352" ht="56" hidden="1" spans="1:7">
      <c r="A352" s="40" t="s">
        <v>826</v>
      </c>
      <c r="B352" s="41" t="s">
        <v>815</v>
      </c>
      <c r="C352" s="28">
        <v>400</v>
      </c>
      <c r="D352" s="29" t="s">
        <v>816</v>
      </c>
      <c r="E352" s="29" t="s">
        <v>820</v>
      </c>
      <c r="F352" s="30" t="s">
        <v>821</v>
      </c>
      <c r="G352" s="31" t="e">
        <f>#REF!</f>
        <v>#REF!</v>
      </c>
    </row>
    <row r="353" ht="56" hidden="1" spans="1:7">
      <c r="A353" s="40" t="s">
        <v>827</v>
      </c>
      <c r="B353" s="41" t="s">
        <v>815</v>
      </c>
      <c r="C353" s="28">
        <v>400</v>
      </c>
      <c r="D353" s="29" t="s">
        <v>816</v>
      </c>
      <c r="E353" s="29" t="s">
        <v>820</v>
      </c>
      <c r="F353" s="30" t="s">
        <v>821</v>
      </c>
      <c r="G353" s="31" t="e">
        <f>#REF!</f>
        <v>#REF!</v>
      </c>
    </row>
    <row r="354" ht="56" hidden="1" spans="1:7">
      <c r="A354" s="40" t="s">
        <v>828</v>
      </c>
      <c r="B354" s="41" t="s">
        <v>815</v>
      </c>
      <c r="C354" s="28">
        <v>400</v>
      </c>
      <c r="D354" s="29" t="s">
        <v>816</v>
      </c>
      <c r="E354" s="29" t="s">
        <v>820</v>
      </c>
      <c r="F354" s="30" t="s">
        <v>821</v>
      </c>
      <c r="G354" s="31" t="e">
        <f>#REF!</f>
        <v>#REF!</v>
      </c>
    </row>
    <row r="355" ht="56" hidden="1" spans="1:7">
      <c r="A355" s="40" t="s">
        <v>829</v>
      </c>
      <c r="B355" s="41" t="s">
        <v>815</v>
      </c>
      <c r="C355" s="28">
        <v>400</v>
      </c>
      <c r="D355" s="29" t="s">
        <v>816</v>
      </c>
      <c r="E355" s="29" t="s">
        <v>820</v>
      </c>
      <c r="F355" s="30" t="s">
        <v>821</v>
      </c>
      <c r="G355" s="31" t="e">
        <f>#REF!</f>
        <v>#REF!</v>
      </c>
    </row>
    <row r="356" s="4" customFormat="1" ht="56" hidden="1" spans="1:7">
      <c r="A356" s="26" t="s">
        <v>830</v>
      </c>
      <c r="B356" s="27" t="s">
        <v>22</v>
      </c>
      <c r="C356" s="28">
        <v>21</v>
      </c>
      <c r="D356" s="29" t="s">
        <v>831</v>
      </c>
      <c r="E356" s="29" t="s">
        <v>832</v>
      </c>
      <c r="F356" s="30" t="s">
        <v>371</v>
      </c>
      <c r="G356" s="31" t="e">
        <f>#REF!</f>
        <v>#REF!</v>
      </c>
    </row>
    <row r="357" s="4" customFormat="1" ht="42" hidden="1" spans="1:7">
      <c r="A357" s="26" t="s">
        <v>99</v>
      </c>
      <c r="B357" s="27" t="s">
        <v>22</v>
      </c>
      <c r="C357" s="28">
        <v>12</v>
      </c>
      <c r="D357" s="29" t="s">
        <v>833</v>
      </c>
      <c r="E357" s="29" t="s">
        <v>832</v>
      </c>
      <c r="F357" s="30" t="s">
        <v>834</v>
      </c>
      <c r="G357" s="31" t="e">
        <f>#REF!</f>
        <v>#REF!</v>
      </c>
    </row>
    <row r="358" s="4" customFormat="1" ht="98" hidden="1" spans="1:7">
      <c r="A358" s="26" t="s">
        <v>103</v>
      </c>
      <c r="B358" s="27" t="s">
        <v>22</v>
      </c>
      <c r="C358" s="28">
        <v>21</v>
      </c>
      <c r="D358" s="29" t="s">
        <v>835</v>
      </c>
      <c r="E358" s="29" t="s">
        <v>836</v>
      </c>
      <c r="F358" s="30" t="s">
        <v>837</v>
      </c>
      <c r="G358" s="31" t="e">
        <f>#REF!</f>
        <v>#REF!</v>
      </c>
    </row>
    <row r="359" s="4" customFormat="1" ht="56" hidden="1" spans="1:7">
      <c r="A359" s="26" t="s">
        <v>838</v>
      </c>
      <c r="B359" s="27" t="s">
        <v>839</v>
      </c>
      <c r="C359" s="28">
        <v>5</v>
      </c>
      <c r="D359" s="29" t="s">
        <v>840</v>
      </c>
      <c r="E359" s="29" t="s">
        <v>836</v>
      </c>
      <c r="F359" s="30" t="s">
        <v>837</v>
      </c>
      <c r="G359" s="31" t="e">
        <f>#REF!</f>
        <v>#REF!</v>
      </c>
    </row>
    <row r="360" s="4" customFormat="1" ht="140" hidden="1" spans="1:7">
      <c r="A360" s="26" t="s">
        <v>841</v>
      </c>
      <c r="B360" s="27" t="s">
        <v>842</v>
      </c>
      <c r="C360" s="28">
        <v>200</v>
      </c>
      <c r="D360" s="29" t="s">
        <v>843</v>
      </c>
      <c r="E360" s="29" t="s">
        <v>844</v>
      </c>
      <c r="F360" s="30" t="s">
        <v>845</v>
      </c>
      <c r="G360" s="31" t="e">
        <f>#REF!</f>
        <v>#REF!</v>
      </c>
    </row>
  </sheetData>
  <autoFilter ref="A3:F360">
    <filterColumn colId="0">
      <filters>
        <filter val="超高施工脚手架及安全措施费（层高5米以内）"/>
        <filter val="超高施工脚手架及安全措施费（层高8米以上）"/>
        <filter val="超高施工脚手架及安全措施费（层高8米以内）"/>
        <filter val="超高施工（局部超高）"/>
        <filter val="超高施工（全屋超高）"/>
      </filters>
    </filterColumn>
    <extLst/>
  </autoFilter>
  <mergeCells count="4">
    <mergeCell ref="C2:F2"/>
    <mergeCell ref="A2:A3"/>
    <mergeCell ref="B2:B3"/>
    <mergeCell ref="G2:G3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基装</vt:lpstr>
      <vt:lpstr>报价表 最新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小美</cp:lastModifiedBy>
  <dcterms:created xsi:type="dcterms:W3CDTF">2006-09-16T00:00:00Z</dcterms:created>
  <cp:lastPrinted>2022-06-11T07:25:00Z</cp:lastPrinted>
  <dcterms:modified xsi:type="dcterms:W3CDTF">2023-09-17T15:18:29Z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21EF7B09E14245FDAC9506333B462CEA_13</vt:lpwstr>
  </property>
  <property fmtid="{D5CDD505-2E9C-101B-9397-08002B2CF9AE}" pid="3" name="KSOProductBuildVer">
    <vt:lpwstr>2052-12.1.0.15398</vt:lpwstr>
  </property>
  <property fmtid="{D5CDD505-2E9C-101B-9397-08002B2CF9AE}" pid="4" name="KSOReadingLayout">
    <vt:bool>true</vt:bool>
  </property>
</Properties>
</file>