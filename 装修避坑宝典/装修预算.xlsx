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 filterPrivacy="1" defaultThemeVersion="124226"/>
  <bookViews>
    <workbookView activeTab="0"/>
  </bookViews>
  <sheets>
    <sheet name="Sheet1" sheetId="1" r:id="rId3"/>
  </sheets>
  <calcPr calcId="152511"/>
</workbook>
</file>

<file path=xl/sharedStrings.xml><?xml version="1.0" encoding="utf-8"?>
<sst xmlns="http://schemas.openxmlformats.org/spreadsheetml/2006/main" count="72" uniqueCount="72">
  <si>
    <t/>
  </si>
  <si>
    <t>预算</t>
  </si>
  <si>
    <t>实际</t>
  </si>
  <si>
    <t>已支付</t>
  </si>
  <si>
    <t>备注</t>
  </si>
  <si>
    <t>是否已安装</t>
  </si>
  <si>
    <t xml:space="preserve">防水墙面拉毛
窗边留缝 打耐候胶
地漏要做坡度
地砖膜要贴
水电标识贴
瓷砖空鼓检查
墙面平整度，阴角阳角垂直度
浴室到时候买个置物架放洗发水沐浴露浴球那些就行
吸盘式挂钩
瓷砖遇到插座中间要留个缝
瓷砖留多大的缝 2.5
地漏贴好砖再切
安装顺序：
1.燃气热水器
2. 全屋定制 拉篮，水槽
3. 烟机灶具
4. 厨卫吊顶铝扣板
5. 浴室柜 + 龙头
6. 空调
7. 室内门 踢脚线
8. 花洒 马桶
9. 暖气片
先装热水器，预埋烟管，然后吊顶，再装橱柜
</t>
  </si>
  <si>
    <t>半包工费</t>
  </si>
  <si>
    <t>光纤开槽200</t>
  </si>
  <si>
    <t>拆除</t>
  </si>
  <si>
    <t>拆除卧室顶200</t>
  </si>
  <si>
    <t>全屋定制柜子</t>
  </si>
  <si>
    <t>千年舟板材，检查五金 柜门材质 背板厚度 橱柜有没有顶板
衣架要靠里面一点 要不然关门衣服会挡住
餐边柜下柜突出一些 上柜下面可以做个玻璃门 转角处看能不能做圆弧处理</t>
  </si>
  <si>
    <t>窗户</t>
  </si>
  <si>
    <t>瓷砖</t>
  </si>
  <si>
    <t>希尔顿</t>
  </si>
  <si>
    <t>地漏止逆阀</t>
  </si>
  <si>
    <t>潜水艇 地漏（1淋1洗1普通）止逆阀（1厨房1厕所）</t>
  </si>
  <si>
    <t>角阀球阀</t>
  </si>
  <si>
    <t>2热水器冷热球阀 2厨房冷热角阀 2卫生间冷热角阀（花洒） 2卫生间冷水角阀（洗衣机+马桶）</t>
  </si>
  <si>
    <t>开关面板</t>
  </si>
  <si>
    <t>公牛
带开关五孔*11
斜五孔*35
单开双控*4
三开*1
单开*3 
空调插座*3
网插*4
防水盒*2
轨道插座？</t>
  </si>
  <si>
    <t>灯具</t>
  </si>
  <si>
    <t>惠普吸顶灯（2室2厅） 简顿射灯*4</t>
  </si>
  <si>
    <t>窗帘</t>
  </si>
  <si>
    <t>索弗伦</t>
  </si>
  <si>
    <t>防盗门</t>
  </si>
  <si>
    <t>步阳祥升 切边50 上楼10</t>
  </si>
  <si>
    <t>室内门+窗套</t>
  </si>
  <si>
    <t>贴好瓷砖来量  
看看室内门的颜色能不能和柜体颜色一样 胡桃木色
厨房做四扇双开推拉门就行 带阻尼
卫生间用钛镁合金门（推拉or平开 待定）
窗套：客厅&amp;卧室包套
阳台墙体不装门的话包个双套，装门的话就是推拉门
门是象牙白</t>
  </si>
  <si>
    <t>花洒</t>
  </si>
  <si>
    <t>九牧</t>
  </si>
  <si>
    <t>浴室柜</t>
  </si>
  <si>
    <t>浴室柜要在安装卫生间门套前来装 吊顶之后</t>
  </si>
  <si>
    <t>马桶</t>
  </si>
  <si>
    <t>铝扣板</t>
  </si>
  <si>
    <t>踢脚线</t>
  </si>
  <si>
    <t>暖气片</t>
  </si>
  <si>
    <t>圣劳伦斯 个人觉得可以等装好空调了再来装暖气片</t>
  </si>
  <si>
    <t>燃气热水器</t>
  </si>
  <si>
    <t>海尔 吊顶前安装 热水器装球阀</t>
  </si>
  <si>
    <t>空调*3</t>
  </si>
  <si>
    <t>统帅超省电max+*2 美的酷省电*1 抽真空</t>
  </si>
  <si>
    <t>冰箱</t>
  </si>
  <si>
    <t>容声515</t>
  </si>
  <si>
    <t>洗衣机</t>
  </si>
  <si>
    <t>小乌梅3.0标准版</t>
  </si>
  <si>
    <t>灶具烟机</t>
  </si>
  <si>
    <t>老板e2 信强ks68（灶具63*33开孔） 铝扣板之前预埋烟管</t>
  </si>
  <si>
    <t>打胶</t>
  </si>
  <si>
    <t>湿区 奥托s100，干区 奥托 s125</t>
  </si>
  <si>
    <t>美缝</t>
  </si>
  <si>
    <t>湿区用马贝141环氧彩砂
贴完砖7-10天后来美缝</t>
  </si>
  <si>
    <t>空开漏保</t>
  </si>
  <si>
    <t>正泰</t>
  </si>
  <si>
    <t>晾衣架</t>
  </si>
  <si>
    <t>好太太</t>
  </si>
  <si>
    <t>沙发</t>
  </si>
  <si>
    <t>林氏沙发 刷完漆最后再发货</t>
  </si>
  <si>
    <t>人体工学椅</t>
  </si>
  <si>
    <t>永艺，后期可以加装一个腰部按摩</t>
  </si>
  <si>
    <t>龙头</t>
  </si>
  <si>
    <t>厨房卫生间下水改造</t>
  </si>
  <si>
    <t>窗台石</t>
  </si>
  <si>
    <t>3m人造石</t>
  </si>
  <si>
    <t>开荒保洁</t>
  </si>
  <si>
    <t>垃圾清运</t>
  </si>
  <si>
    <t>打孔</t>
  </si>
  <si>
    <t>水槽+碗碟拉篮</t>
  </si>
  <si>
    <t>悍高</t>
  </si>
  <si>
    <t>总计</t>
  </si>
  <si>
    <t>防水墙面拉毛
窗边留缝 打耐候胶
地漏要做坡度
地砖膜要贴
水电标识贴
瓷砖空鼓检查
墙面平整度，阴角阳角垂直度
浴室到时候买个置物架放洗发水沐浴露浴球那些就行
吸盘式挂钩
瓷砖遇到插座中间要留个缝
瓷砖留多大的缝 2.5
地漏贴好砖再切
安装顺序：
1.燃气热水器
2. 全屋定制 拉篮，水槽
3. 烟机灶具
4. 厨卫吊顶铝扣板
5. 浴室柜 + 龙头
6. 空调
7. 室内门 踢脚线
8. 花洒 马桶
9. 暖气片
先装热水器，预埋烟管，然后吊顶，再装橱柜，最后油烟机</t>
  </si>
</sst>
</file>

<file path=xl/styles.xml><?xml version="1.0" encoding="utf-8"?>
<styleSheet xmlns="http://schemas.openxmlformats.org/spreadsheetml/2006/main">
  <numFmts count="1">
    <numFmt numFmtId="300" formatCode="General"/>
  </numFmts>
  <fonts count="5">
    <font>
      <name val="宋体"/>
      <family val="2"/>
      <color theme="1"/>
      <sz val="11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宋体"/>
    </font>
    <font>
      <name val="宋体"/>
      <family val="2"/>
      <color theme="1"/>
      <sz val="11"/>
      <scheme val="minor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A1CE63"/>
      </patternFill>
    </fill>
    <fill>
      <patternFill patternType="solid">
        <fgColor rgb="ff92d050"/>
        <bgColor auto="1"/>
      </patternFill>
    </fill>
    <fill>
      <patternFill patternType="none"/>
    </fill>
    <fill>
      <patternFill patternType="solid">
        <fgColor rgb="FF92D050"/>
      </patternFill>
    </fill>
  </fills>
  <borders count="9">
    <border>
      <left/>
      <right/>
      <top/>
      <bottom/>
      <diagonal/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auto="1"/>
      </diagonal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top style="thin">
        <color indexed="64"/>
      </top>
      <bottom style="thin">
        <color indexed="64"/>
      </bottom>
    </border>
    <border>
      <left/>
      <right/>
      <top/>
      <bottom/>
      <diagonal/>
    </border>
  </borders>
  <cellStyleXfs>
    <xf numFmtId="300" fontId="4" fillId="0" borderId="8" xfId="0"/>
  </cellStyleXfs>
  <cellXfs count="31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/>
    <xf numFmtId="300" fontId="4" fillId="0" borderId="1" xfId="0" applyBorder="1"/>
    <xf numFmtId="300" fontId="4" fillId="0" borderId="2" xfId="0" applyBorder="1"/>
    <xf numFmtId="300" fontId="4" fillId="0" borderId="3" xfId="0" applyBorder="1"/>
    <xf fontId="0" fillId="0" borderId="4" xfId="0"/>
    <xf numFmtId="0" fontId="3" fillId="0" borderId="5" xfId="0" applyNumberFormat="1" applyFont="1" applyBorder="1" applyAlignment="1">
      <alignment horizontal="center" vertical="center" wrapText="1"/>
    </xf>
    <xf numFmtId="0" fontId="3" fillId="0" borderId="2" xfId="0" applyNumberFormat="1" applyFont="1" applyBorder="1"/>
    <xf numFmtId="0" fontId="4" fillId="0" borderId="2" xfId="0" applyNumberFormat="1" applyBorder="1"/>
    <xf numFmtId="0" fontId="3" fillId="0" borderId="3" xfId="0" applyNumberFormat="1" applyFont="1" applyBorder="1"/>
    <xf numFmtId="300" fontId="4" fillId="0" borderId="5" xfId="0" applyBorder="1" applyAlignment="1">
      <alignment horizontal="center" vertical="center"/>
    </xf>
    <xf numFmtId="300" fontId="4" fillId="2" borderId="2" xfId="0" applyFill="1" applyBorder="1"/>
    <xf numFmtId="0" fontId="4" fillId="2" borderId="2" xfId="0" applyNumberFormat="1" applyFill="1" applyBorder="1"/>
    <xf numFmtId="0" fontId="0" fillId="2" borderId="2" xfId="0"/>
    <xf numFmtId="0" fontId="3" fillId="0" borderId="3" xfId="0" applyNumberFormat="1" applyFont="1" applyBorder="1" applyAlignment="1">
      <alignment wrapText="1"/>
    </xf>
    <xf numFmtId="300" fontId="4" fillId="3" borderId="2" xfId="0" applyFill="1" applyBorder="1"/>
    <xf numFmtId="0" fontId="4" fillId="3" borderId="2" xfId="0" applyNumberFormat="1" applyFill="1" applyBorder="1"/>
    <xf numFmtId="300" fontId="4" fillId="4" borderId="2" xfId="0" applyFill="1" applyBorder="1"/>
    <xf numFmtId="0" fontId="4" fillId="4" borderId="2" xfId="0" applyNumberFormat="1" applyFill="1" applyBorder="1"/>
    <xf numFmtId="0" fontId="3" fillId="4" borderId="2" xfId="0" applyNumberFormat="1" applyFont="1" applyFill="1" applyBorder="1"/>
    <xf numFmtId="0" fontId="4" fillId="4" borderId="2" xfId="0" applyNumberFormat="1" applyFill="1" applyBorder="1"/>
    <xf numFmtId="0" fontId="3" fillId="0" borderId="3" xfId="0" applyNumberFormat="1" applyFont="1" applyBorder="1"/>
    <xf numFmtId="300" fontId="4" fillId="0" borderId="5" xfId="0" applyBorder="1" applyAlignment="1">
      <alignment horizontal="center" vertical="center"/>
    </xf>
    <xf numFmtId="300" fontId="4" fillId="5" borderId="2" xfId="0" applyFill="1" applyBorder="1"/>
    <xf numFmtId="0" fontId="3" fillId="0" borderId="6" xfId="0" applyNumberFormat="1" applyFont="1" applyBorder="1"/>
    <xf numFmtId="0" fontId="4" fillId="0" borderId="6" xfId="0" applyNumberFormat="1" applyBorder="1"/>
    <xf numFmtId="0" fontId="3" fillId="0" borderId="7" xfId="0" applyNumberFormat="1" applyFont="1" applyBorder="1"/>
    <xf numFmtId="0" fontId="3" fillId="6" borderId="6" xfId="0" applyNumberFormat="1" applyFont="1" applyFill="1" applyBorder="1"/>
    <xf numFmtId="0" fontId="4" fillId="6" borderId="6" xfId="0" applyNumberFormat="1" applyFill="1" applyBorder="1"/>
  </cellXfs>
  <cellStyles>
    <cellStyle name="常规" xfId="0" builtinId="0"/>
  </cellStyles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2" Type="http://schemas.openxmlformats.org/officeDocument/2006/relationships/styles" Target="styles.xml" /><Relationship Id="rId0" Type="http://schemas.openxmlformats.org/officeDocument/2006/relationships/sharedStrings" Target="sharedStrings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/>
  <dimension ref="G39"/>
  <sheetViews>
    <sheetView showGridLines="1" tabSelected="0" zoomScale="85" zoomScaleNormal="85" workbookViewId="0"/>
  </sheetViews>
  <sheetFormatPr baseColWidth="8" defaultRowHeight="14.4"/>
  <cols>
    <col min="1" max="1" width="23.5547" customWidth="1"/>
    <col min="5" max="5" width="51.875" customWidth="1"/>
    <col min="6" max="6" width="10.5039" customWidth="1"/>
    <col min="7" max="7" width="30.332" customWidth="1"/>
  </cols>
  <sheetData>
    <row r="1" spans="1:7">
      <c r="A1" s="4" t="s"/>
      <c r="B1" s="5" t="s">
        <v>1</v>
      </c>
      <c r="C1" s="5" t="s">
        <v>2</v>
      </c>
      <c r="D1" s="5" t="s">
        <v>3</v>
      </c>
      <c r="E1" s="6" t="s">
        <v>4</v>
      </c>
      <c r="F1" s="7" t="s">
        <v>5</v>
      </c>
      <c r="G1" s="8" t="s">
        <v>71</v>
      </c>
    </row>
    <row r="2" spans="1:7">
      <c r="A2" s="9" t="s">
        <v>7</v>
      </c>
      <c r="B2" s="5">
        <v>44000</v>
      </c>
      <c r="C2" s="5">
        <v>44000</v>
      </c>
      <c r="D2" s="10">
        <v>13400</v>
      </c>
      <c r="E2" s="11" t="s">
        <v>8</v>
      </c>
      <c r="F2" s="7" t="s"/>
      <c r="G2" s="12" t="s"/>
    </row>
    <row r="3" spans="1:7">
      <c r="A3" s="13" t="s">
        <v>9</v>
      </c>
      <c r="B3" s="13">
        <v>6600</v>
      </c>
      <c r="C3" s="14">
        <v>6800</v>
      </c>
      <c r="D3" s="15">
        <v>6800</v>
      </c>
      <c r="E3" s="11" t="s">
        <v>10</v>
      </c>
      <c r="F3" s="7">
        <v>1</v>
      </c>
      <c r="G3" s="12" t="s"/>
    </row>
    <row r="4" spans="1:7">
      <c r="A4" s="5" t="s">
        <v>11</v>
      </c>
      <c r="B4" s="5">
        <v>25000</v>
      </c>
      <c r="C4" s="10">
        <v>14614</v>
      </c>
      <c r="D4" s="5">
        <v>7807</v>
      </c>
      <c r="E4" s="16" t="s">
        <v>12</v>
      </c>
      <c r="F4" s="7" t="s"/>
      <c r="G4" s="12" t="s"/>
    </row>
    <row r="5" spans="1:7">
      <c r="A5" s="13" t="s">
        <v>13</v>
      </c>
      <c r="B5" s="13">
        <v>12000</v>
      </c>
      <c r="C5" s="13">
        <v>12000</v>
      </c>
      <c r="D5" s="13">
        <v>12000</v>
      </c>
      <c r="E5" s="6" t="s"/>
      <c r="F5" s="7">
        <v>1</v>
      </c>
      <c r="G5" s="12" t="s"/>
    </row>
    <row r="6" spans="1:7">
      <c r="A6" s="17" t="s">
        <v>14</v>
      </c>
      <c r="B6" s="17">
        <v>6813</v>
      </c>
      <c r="C6" s="18">
        <v>6829</v>
      </c>
      <c r="D6" s="18">
        <v>6829</v>
      </c>
      <c r="E6" s="6" t="s">
        <v>15</v>
      </c>
      <c r="F6" s="7">
        <v>1</v>
      </c>
      <c r="G6" s="12" t="s"/>
    </row>
    <row r="7" spans="1:7">
      <c r="A7" s="13" t="s">
        <v>16</v>
      </c>
      <c r="B7" s="13">
        <v>420</v>
      </c>
      <c r="C7" s="13">
        <v>420</v>
      </c>
      <c r="D7" s="13">
        <v>470</v>
      </c>
      <c r="E7" s="11" t="s">
        <v>17</v>
      </c>
      <c r="F7" s="7">
        <v>1</v>
      </c>
      <c r="G7" s="12" t="s"/>
    </row>
    <row r="8" spans="1:7">
      <c r="A8" s="5" t="s">
        <v>18</v>
      </c>
      <c r="B8" s="5">
        <v>350</v>
      </c>
      <c r="C8" s="10">
        <v>350</v>
      </c>
      <c r="D8" s="5">
        <v>102</v>
      </c>
      <c r="E8" s="16" t="s">
        <v>19</v>
      </c>
      <c r="F8" s="7" t="s"/>
      <c r="G8" s="12" t="s"/>
    </row>
    <row r="9" spans="1:7">
      <c r="A9" s="5" t="s">
        <v>20</v>
      </c>
      <c r="B9" s="5">
        <v>1500</v>
      </c>
      <c r="C9" s="10">
        <v>1500</v>
      </c>
      <c r="D9" s="5" t="s"/>
      <c r="E9" s="16" t="s">
        <v>21</v>
      </c>
      <c r="F9" s="7" t="s"/>
      <c r="G9" s="12" t="s"/>
    </row>
    <row r="10" spans="1:7">
      <c r="A10" s="5" t="s">
        <v>22</v>
      </c>
      <c r="B10" s="5">
        <v>1050</v>
      </c>
      <c r="C10" s="10">
        <v>1050</v>
      </c>
      <c r="D10" s="5" t="s"/>
      <c r="E10" s="11" t="s">
        <v>23</v>
      </c>
      <c r="F10" s="7" t="s"/>
      <c r="G10" s="12" t="s"/>
    </row>
    <row r="11" spans="1:7">
      <c r="A11" s="5" t="s">
        <v>24</v>
      </c>
      <c r="B11" s="5">
        <v>2000</v>
      </c>
      <c r="C11" s="10">
        <v>2100</v>
      </c>
      <c r="D11" s="5">
        <v>500</v>
      </c>
      <c r="E11" s="6" t="s">
        <v>25</v>
      </c>
      <c r="F11" s="7" t="s"/>
      <c r="G11" s="12" t="s"/>
    </row>
    <row r="12" spans="1:7">
      <c r="A12" s="19" t="s">
        <v>26</v>
      </c>
      <c r="B12" s="19">
        <v>2680</v>
      </c>
      <c r="C12" s="19">
        <v>2740</v>
      </c>
      <c r="D12" s="20">
        <v>2740</v>
      </c>
      <c r="E12" s="11" t="s">
        <v>27</v>
      </c>
      <c r="F12" s="7">
        <v>1</v>
      </c>
      <c r="G12" s="12" t="s"/>
    </row>
    <row r="13" spans="1:7">
      <c r="A13" s="5" t="s">
        <v>28</v>
      </c>
      <c r="B13" s="5">
        <v>7494</v>
      </c>
      <c r="C13" s="10">
        <v>7494</v>
      </c>
      <c r="D13" s="5">
        <v>3800</v>
      </c>
      <c r="E13" s="16" t="s">
        <v>29</v>
      </c>
      <c r="F13" s="7" t="s"/>
      <c r="G13" s="12" t="s"/>
    </row>
    <row r="14" spans="1:7">
      <c r="A14" s="5" t="s">
        <v>30</v>
      </c>
      <c r="B14" s="5">
        <v>1200</v>
      </c>
      <c r="C14" s="10">
        <v>600</v>
      </c>
      <c r="D14" s="5" t="s"/>
      <c r="E14" s="6" t="s">
        <v>31</v>
      </c>
      <c r="F14" s="7" t="s"/>
      <c r="G14" s="12" t="s"/>
    </row>
    <row r="15" spans="1:7">
      <c r="A15" s="5" t="s">
        <v>32</v>
      </c>
      <c r="B15" s="5">
        <v>2300</v>
      </c>
      <c r="C15" s="10">
        <v>2300</v>
      </c>
      <c r="D15" s="5">
        <v>1800</v>
      </c>
      <c r="E15" s="6" t="s">
        <v>33</v>
      </c>
      <c r="F15" s="7" t="s"/>
      <c r="G15" s="12" t="s"/>
    </row>
    <row r="16" spans="1:7">
      <c r="A16" s="5" t="s">
        <v>34</v>
      </c>
      <c r="B16" s="5">
        <v>1300</v>
      </c>
      <c r="C16" s="10">
        <v>1300</v>
      </c>
      <c r="D16" s="5">
        <v>300</v>
      </c>
      <c r="E16" s="6" t="s">
        <v>31</v>
      </c>
      <c r="F16" s="7" t="s"/>
      <c r="G16" s="12" t="s"/>
    </row>
    <row r="17" spans="1:7">
      <c r="A17" s="5" t="s">
        <v>35</v>
      </c>
      <c r="B17" s="5">
        <v>1500</v>
      </c>
      <c r="C17" s="10">
        <v>1500</v>
      </c>
      <c r="D17" s="5" t="s"/>
      <c r="E17" s="6" t="s"/>
      <c r="F17" s="7" t="s"/>
      <c r="G17" s="12" t="s"/>
    </row>
    <row r="18" spans="1:7">
      <c r="A18" s="5" t="s">
        <v>36</v>
      </c>
      <c r="B18" s="5">
        <v>1500</v>
      </c>
      <c r="C18" s="10">
        <v>1000</v>
      </c>
      <c r="D18" s="5" t="s"/>
      <c r="E18" s="6" t="s"/>
      <c r="F18" s="7" t="s"/>
      <c r="G18" s="12" t="s"/>
    </row>
    <row r="19" spans="1:7">
      <c r="A19" s="5" t="s">
        <v>37</v>
      </c>
      <c r="B19" s="5">
        <v>5638</v>
      </c>
      <c r="C19" s="10">
        <v>5200</v>
      </c>
      <c r="D19" s="5">
        <v>4632</v>
      </c>
      <c r="E19" s="11" t="s">
        <v>38</v>
      </c>
      <c r="F19" s="7" t="s"/>
      <c r="G19" s="12" t="s"/>
    </row>
    <row r="20" spans="1:7">
      <c r="A20" s="13" t="s">
        <v>39</v>
      </c>
      <c r="B20" s="13">
        <v>3068</v>
      </c>
      <c r="C20" s="13">
        <v>3068</v>
      </c>
      <c r="D20" s="14">
        <v>2789</v>
      </c>
      <c r="E20" s="6" t="s">
        <v>40</v>
      </c>
      <c r="F20" s="7" t="s"/>
      <c r="G20" s="12" t="s"/>
    </row>
    <row r="21" spans="1:7">
      <c r="A21" s="9" t="s">
        <v>41</v>
      </c>
      <c r="B21" s="5">
        <v>7500</v>
      </c>
      <c r="C21" s="10">
        <v>5650</v>
      </c>
      <c r="D21" s="10">
        <v>5650</v>
      </c>
      <c r="E21" s="11" t="s">
        <v>42</v>
      </c>
      <c r="F21" s="7" t="s"/>
      <c r="G21" s="12" t="s"/>
    </row>
    <row r="22" spans="1:7">
      <c r="A22" s="5" t="s">
        <v>43</v>
      </c>
      <c r="B22" s="10">
        <v>5500</v>
      </c>
      <c r="C22" s="10">
        <v>4100</v>
      </c>
      <c r="D22" s="10">
        <v>3882</v>
      </c>
      <c r="E22" s="11" t="s">
        <v>44</v>
      </c>
      <c r="F22" s="7" t="s"/>
      <c r="G22" s="12" t="s"/>
    </row>
    <row r="23" spans="1:7">
      <c r="A23" s="21" t="s">
        <v>45</v>
      </c>
      <c r="B23" s="22">
        <v>2597</v>
      </c>
      <c r="C23" s="22">
        <v>2597</v>
      </c>
      <c r="D23" s="22">
        <v>2597</v>
      </c>
      <c r="E23" s="23" t="s">
        <v>46</v>
      </c>
      <c r="F23" s="7" t="s"/>
      <c r="G23" s="24" t="s"/>
    </row>
    <row r="24" spans="1:7">
      <c r="A24" s="9" t="s">
        <v>47</v>
      </c>
      <c r="B24" s="10">
        <v>3600</v>
      </c>
      <c r="C24" s="10">
        <v>3600</v>
      </c>
      <c r="D24" s="10">
        <v>2554</v>
      </c>
      <c r="E24" s="11" t="s">
        <v>48</v>
      </c>
      <c r="F24" s="7" t="s"/>
      <c r="G24" s="12" t="s"/>
    </row>
    <row r="25" spans="1:7">
      <c r="A25" s="5" t="s">
        <v>49</v>
      </c>
      <c r="B25" s="5">
        <v>2500</v>
      </c>
      <c r="C25" s="10">
        <v>2000</v>
      </c>
      <c r="D25" s="5">
        <v>164</v>
      </c>
      <c r="E25" s="6" t="s">
        <v>50</v>
      </c>
      <c r="F25" s="7" t="s"/>
      <c r="G25" s="12" t="s"/>
    </row>
    <row r="26" spans="1:7">
      <c r="A26" s="5" t="s">
        <v>51</v>
      </c>
      <c r="B26" s="10">
        <v>3250</v>
      </c>
      <c r="C26" s="10">
        <v>3250</v>
      </c>
      <c r="D26" s="5">
        <v>1000</v>
      </c>
      <c r="E26" s="16" t="s">
        <v>52</v>
      </c>
      <c r="F26" s="7" t="s"/>
      <c r="G26" s="12" t="s"/>
    </row>
    <row r="27" spans="1:7">
      <c r="A27" s="13" t="s">
        <v>53</v>
      </c>
      <c r="B27" s="13">
        <v>263</v>
      </c>
      <c r="C27" s="13">
        <v>263</v>
      </c>
      <c r="D27" s="13">
        <v>263</v>
      </c>
      <c r="E27" s="6" t="s">
        <v>54</v>
      </c>
      <c r="F27" s="7">
        <v>1</v>
      </c>
      <c r="G27" s="12" t="s"/>
    </row>
    <row r="28" spans="1:7">
      <c r="A28" s="5" t="s">
        <v>55</v>
      </c>
      <c r="B28" s="5">
        <v>1050</v>
      </c>
      <c r="C28" s="10">
        <v>737</v>
      </c>
      <c r="D28" s="5">
        <v>737</v>
      </c>
      <c r="E28" s="11" t="s">
        <v>56</v>
      </c>
      <c r="F28" s="7" t="s"/>
      <c r="G28" s="12" t="s"/>
    </row>
    <row r="29" spans="1:7">
      <c r="A29" s="13" t="s">
        <v>57</v>
      </c>
      <c r="B29" s="13">
        <v>4320</v>
      </c>
      <c r="C29" s="13">
        <v>4320</v>
      </c>
      <c r="D29" s="13">
        <v>4396</v>
      </c>
      <c r="E29" s="11" t="s">
        <v>58</v>
      </c>
      <c r="F29" s="7" t="s"/>
      <c r="G29" s="12" t="s"/>
    </row>
    <row r="30" spans="1:7">
      <c r="A30" s="13" t="s">
        <v>59</v>
      </c>
      <c r="B30" s="13">
        <v>2050</v>
      </c>
      <c r="C30" s="13">
        <v>2050</v>
      </c>
      <c r="D30" s="13">
        <v>2050</v>
      </c>
      <c r="E30" s="11" t="s">
        <v>60</v>
      </c>
      <c r="F30" s="7" t="s"/>
      <c r="G30" s="12" t="s"/>
    </row>
    <row r="31" spans="1:6">
      <c r="A31" s="5" t="s">
        <v>61</v>
      </c>
      <c r="B31" s="5">
        <v>700</v>
      </c>
      <c r="C31" s="10">
        <v>350</v>
      </c>
      <c r="D31" s="5" t="s"/>
      <c r="E31" s="6" t="s"/>
      <c r="F31" s="7" t="s"/>
    </row>
    <row r="32" spans="1:6">
      <c r="A32" s="13" t="s">
        <v>62</v>
      </c>
      <c r="B32" s="13">
        <v>3000</v>
      </c>
      <c r="C32" s="13">
        <v>3000</v>
      </c>
      <c r="D32" s="13">
        <v>3000</v>
      </c>
      <c r="E32" s="6" t="s"/>
      <c r="F32" s="7">
        <v>1</v>
      </c>
    </row>
    <row r="33" spans="1:6">
      <c r="A33" s="25" t="s">
        <v>63</v>
      </c>
      <c r="B33" s="5">
        <v>500</v>
      </c>
      <c r="C33" s="5">
        <v>500</v>
      </c>
      <c r="D33" s="5">
        <v>240</v>
      </c>
      <c r="E33" s="6" t="s">
        <v>64</v>
      </c>
      <c r="F33" s="7" t="s"/>
    </row>
    <row r="34" spans="1:6">
      <c r="A34" s="5" t="s">
        <v>65</v>
      </c>
      <c r="B34" s="5">
        <v>1500</v>
      </c>
      <c r="C34" s="10">
        <v>1500</v>
      </c>
      <c r="D34" s="5" t="s"/>
      <c r="E34" s="6" t="s"/>
      <c r="F34" s="7" t="s"/>
    </row>
    <row r="35" spans="1:6">
      <c r="A35" s="26" t="s">
        <v>66</v>
      </c>
      <c r="B35" s="27">
        <v>1000</v>
      </c>
      <c r="C35" s="27">
        <v>1100</v>
      </c>
      <c r="D35" s="27">
        <v>760</v>
      </c>
      <c r="E35" s="28" t="s"/>
      <c r="F35" s="7" t="s"/>
    </row>
    <row r="36" spans="1:6">
      <c r="A36" s="29" t="s">
        <v>67</v>
      </c>
      <c r="B36" s="30">
        <v>150</v>
      </c>
      <c r="C36" s="30">
        <v>100</v>
      </c>
      <c r="D36" s="30">
        <v>100</v>
      </c>
      <c r="E36" s="28" t="s"/>
      <c r="F36" s="7">
        <v>1</v>
      </c>
    </row>
    <row r="37" spans="1:6">
      <c r="A37" s="26" t="s">
        <v>68</v>
      </c>
      <c r="B37" s="27">
        <v>2000</v>
      </c>
      <c r="C37" s="27">
        <v>2339</v>
      </c>
      <c r="D37" s="27">
        <v>2339</v>
      </c>
      <c r="E37" s="28" t="s">
        <v>69</v>
      </c>
      <c r="F37" s="7" t="s"/>
    </row>
    <row r="38" spans="1:6">
      <c r="A38" s="5" t="s">
        <v>70</v>
      </c>
      <c r="B38" s="5">
        <f>=SUM(B2:B37)</f>
        <v>167893</v>
      </c>
      <c r="C38" s="5">
        <f>=SUM(C2:C37)</f>
        <v>152321</v>
      </c>
      <c r="D38" s="5">
        <f>=SUM(D2:D37)</f>
        <v>93701</v>
      </c>
      <c r="E38" s="6" t="s"/>
      <c r="F38" s="7" t="s"/>
    </row>
    <row r="39" spans="3:3">
      <c r="C39">
        <f>=C38-D38</f>
        <v>58620</v>
      </c>
    </row>
  </sheetData>
  <mergeCells count="1">
    <mergeCell ref="G1:G30"/>
  </mergeCells>
  <pageMargins left="0.7" right="0.7" top="0.75" bottom="0.75" header="0.3" footer="0.3"/>
  <pageSetup paperSize="9" orientation="portrait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2026-06-01T13:43:36Z</dcterms:created>
  <dcterms:modified xsi:type="dcterms:W3CDTF">2026-06-01T13:43:36Z</dcterms:modified>
</cp:coreProperties>
</file>